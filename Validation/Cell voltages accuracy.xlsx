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uksa-my.sharepoint.com/personal/1936016_stu_kau_edu_sa/Documents/Engineering/semester_12 (1)/SDP/"/>
    </mc:Choice>
  </mc:AlternateContent>
  <xr:revisionPtr revIDLastSave="2" documentId="13_ncr:1_{961E85BE-94E2-4A88-A58C-7C08A193BBE6}" xr6:coauthVersionLast="47" xr6:coauthVersionMax="47" xr10:uidLastSave="{981D69A0-CC83-428F-A184-893F20CB668D}"/>
  <bookViews>
    <workbookView xWindow="-120" yWindow="-120" windowWidth="29040" windowHeight="15720" xr2:uid="{3B0A8A67-84FC-48D2-96E7-3F72AB30C4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 a="1"/>
  <c r="S9" i="1"/>
  <c r="S10" i="1" a="1"/>
  <c r="S10" i="1"/>
  <c r="S11" i="1" a="1"/>
  <c r="S11" i="1"/>
  <c r="S12" i="1" a="1"/>
  <c r="S12" i="1"/>
  <c r="K6" i="1"/>
  <c r="K11" i="1" s="1"/>
  <c r="K12" i="1" s="1"/>
  <c r="L6" i="1"/>
  <c r="M6" i="1"/>
  <c r="N6" i="1"/>
  <c r="O6" i="1"/>
  <c r="P6" i="1"/>
  <c r="P11" i="1" s="1"/>
  <c r="P12" i="1" s="1"/>
  <c r="Q6" i="1"/>
  <c r="Q11" i="1" s="1"/>
  <c r="Q12" i="1" s="1"/>
  <c r="R6" i="1"/>
  <c r="K7" i="1"/>
  <c r="L7" i="1"/>
  <c r="L11" i="1" s="1"/>
  <c r="L12" i="1" s="1"/>
  <c r="M7" i="1"/>
  <c r="M11" i="1" s="1"/>
  <c r="M12" i="1" s="1"/>
  <c r="N7" i="1"/>
  <c r="N11" i="1" s="1"/>
  <c r="N12" i="1" s="1"/>
  <c r="O7" i="1"/>
  <c r="O11" i="1" s="1"/>
  <c r="O12" i="1" s="1"/>
  <c r="P7" i="1"/>
  <c r="Q7" i="1"/>
  <c r="R7" i="1"/>
  <c r="O9" i="1"/>
  <c r="O10" i="1" s="1"/>
  <c r="P9" i="1"/>
  <c r="P10" i="1" s="1"/>
  <c r="N8" i="1"/>
  <c r="N9" i="1" s="1"/>
  <c r="N10" i="1" s="1"/>
  <c r="O8" i="1"/>
  <c r="Q8" i="1"/>
  <c r="Q9" i="1" s="1"/>
  <c r="Q10" i="1" s="1"/>
  <c r="R8" i="1"/>
  <c r="L8" i="1"/>
  <c r="L9" i="1" s="1"/>
  <c r="L10" i="1" s="1"/>
  <c r="R5" i="1"/>
  <c r="K8" i="1"/>
  <c r="K9" i="1" s="1"/>
  <c r="K10" i="1" s="1"/>
  <c r="M8" i="1"/>
  <c r="M9" i="1" s="1"/>
  <c r="M10" i="1" s="1"/>
  <c r="P8" i="1"/>
  <c r="S13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56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15" i="1"/>
  <c r="J6" i="1"/>
  <c r="J8" i="1"/>
  <c r="J9" i="1" s="1"/>
  <c r="J10" i="1" s="1"/>
  <c r="J7" i="1"/>
  <c r="J11" i="1" s="1"/>
  <c r="J12" i="1" s="1"/>
  <c r="R9" i="1" l="1"/>
  <c r="R10" i="1" s="1"/>
  <c r="R11" i="1"/>
  <c r="R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<sst xmlns="http://schemas.openxmlformats.org/spreadsheetml/2006/main" count="33" uniqueCount="23">
  <si>
    <t>REAL</t>
  </si>
  <si>
    <t>MAX</t>
  </si>
  <si>
    <t>MIN</t>
  </si>
  <si>
    <t>MEAN</t>
  </si>
  <si>
    <t>CELL 1</t>
  </si>
  <si>
    <t>CELL 2</t>
  </si>
  <si>
    <t>CELL 3</t>
  </si>
  <si>
    <t>CELL 4</t>
  </si>
  <si>
    <t>CELL 5</t>
  </si>
  <si>
    <t>CELL 6</t>
  </si>
  <si>
    <t>CELL 7</t>
  </si>
  <si>
    <t>CELL 8</t>
  </si>
  <si>
    <t>TOTAL VOLTAGE</t>
  </si>
  <si>
    <t>TEMP 1</t>
  </si>
  <si>
    <t>TEMP 2</t>
  </si>
  <si>
    <t>MEANERROR</t>
  </si>
  <si>
    <t>READING NO.</t>
  </si>
  <si>
    <t>MAX ERROR</t>
  </si>
  <si>
    <t>%</t>
  </si>
  <si>
    <t>TIME ms</t>
  </si>
  <si>
    <t>TIME s</t>
  </si>
  <si>
    <t>Column1</t>
  </si>
  <si>
    <t xml:space="preserve">WORST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</si>
</sst>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33" borderId="10" xfId="0" applyFill="1" applyBorder="1" applyAlignment="1">
      <alignment horizontal="left"/>
    </xf>
    <xf numFmtId="0" fontId="0" fillId="33" borderId="11" xfId="0" applyFill="1" applyBorder="1" applyAlignment="1">
      <alignment horizontal="left"/>
    </xf>
    <xf numFmtId="165" fontId="0" fillId="33" borderId="11" xfId="0" applyNumberFormat="1" applyFill="1" applyBorder="1" applyAlignment="1">
      <alignment horizontal="left"/>
    </xf>
    <xf numFmtId="164" fontId="0" fillId="33" borderId="11" xfId="0" applyNumberFormat="1" applyFill="1" applyBorder="1" applyAlignment="1">
      <alignment horizontal="left"/>
    </xf>
    <xf numFmtId="0" fontId="0" fillId="0" borderId="10" xfId="0" applyBorder="1" applyAlignment="1">
      <alignment horizontal="left"/>
    </xf>
    <xf numFmtId="165" fontId="0" fillId="0" borderId="10" xfId="0" applyNumberFormat="1" applyBorder="1" applyAlignment="1">
      <alignment horizontal="left"/>
    </xf>
    <xf numFmtId="0" fontId="0" fillId="0" borderId="11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v</a:t>
            </a:r>
            <a:r>
              <a:rPr lang="en-US"/>
              <a:t>oltages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in!$J$14</c:f>
              <c:strCache>
                <c:ptCount val="1"/>
                <c:pt idx="0">
                  <c:v>CELL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in!$I$15:$I$97</c:f>
              <c:numCache>
                <c:formatCode>General</c:formatCode>
                <c:ptCount val="8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620</c:v>
                </c:pt>
                <c:pt idx="65">
                  <c:v>625</c:v>
                </c:pt>
                <c:pt idx="66">
                  <c:v>630</c:v>
                </c:pt>
                <c:pt idx="67">
                  <c:v>635</c:v>
                </c:pt>
                <c:pt idx="68">
                  <c:v>640</c:v>
                </c:pt>
                <c:pt idx="69">
                  <c:v>645</c:v>
                </c:pt>
                <c:pt idx="70">
                  <c:v>650</c:v>
                </c:pt>
                <c:pt idx="71">
                  <c:v>655</c:v>
                </c:pt>
                <c:pt idx="72">
                  <c:v>660</c:v>
                </c:pt>
                <c:pt idx="73">
                  <c:v>665</c:v>
                </c:pt>
                <c:pt idx="74">
                  <c:v>670</c:v>
                </c:pt>
                <c:pt idx="75">
                  <c:v>675</c:v>
                </c:pt>
                <c:pt idx="76">
                  <c:v>680</c:v>
                </c:pt>
                <c:pt idx="77">
                  <c:v>685</c:v>
                </c:pt>
                <c:pt idx="78">
                  <c:v>690</c:v>
                </c:pt>
                <c:pt idx="79">
                  <c:v>695</c:v>
                </c:pt>
                <c:pt idx="80">
                  <c:v>700</c:v>
                </c:pt>
              </c:numCache>
            </c:numRef>
          </c:cat>
          <c:val>
            <c:numRef>
              <c:f>in!$J$15:$J$95</c:f>
              <c:numCache>
                <c:formatCode>0.000</c:formatCode>
                <c:ptCount val="81"/>
                <c:pt idx="0">
                  <c:v>3.964</c:v>
                </c:pt>
                <c:pt idx="1">
                  <c:v>3.964</c:v>
                </c:pt>
                <c:pt idx="2">
                  <c:v>3.964</c:v>
                </c:pt>
                <c:pt idx="3">
                  <c:v>3.9590000000000001</c:v>
                </c:pt>
                <c:pt idx="4">
                  <c:v>3.9590000000000001</c:v>
                </c:pt>
                <c:pt idx="5">
                  <c:v>3.9590000000000001</c:v>
                </c:pt>
                <c:pt idx="6">
                  <c:v>3.964</c:v>
                </c:pt>
                <c:pt idx="7">
                  <c:v>3.9590000000000001</c:v>
                </c:pt>
                <c:pt idx="8">
                  <c:v>3.964</c:v>
                </c:pt>
                <c:pt idx="9">
                  <c:v>3.9590000000000001</c:v>
                </c:pt>
                <c:pt idx="10">
                  <c:v>3.9590000000000001</c:v>
                </c:pt>
                <c:pt idx="11">
                  <c:v>3.9590000000000001</c:v>
                </c:pt>
                <c:pt idx="12">
                  <c:v>3.9590000000000001</c:v>
                </c:pt>
                <c:pt idx="13">
                  <c:v>3.9590000000000001</c:v>
                </c:pt>
                <c:pt idx="14">
                  <c:v>3.9590000000000001</c:v>
                </c:pt>
                <c:pt idx="15">
                  <c:v>3.9590000000000001</c:v>
                </c:pt>
                <c:pt idx="16">
                  <c:v>3.9590000000000001</c:v>
                </c:pt>
                <c:pt idx="17">
                  <c:v>3.9590000000000001</c:v>
                </c:pt>
                <c:pt idx="18">
                  <c:v>3.9590000000000001</c:v>
                </c:pt>
                <c:pt idx="19">
                  <c:v>3.9590000000000001</c:v>
                </c:pt>
                <c:pt idx="20">
                  <c:v>3.9590000000000001</c:v>
                </c:pt>
                <c:pt idx="21">
                  <c:v>3.964</c:v>
                </c:pt>
                <c:pt idx="22">
                  <c:v>3.9590000000000001</c:v>
                </c:pt>
                <c:pt idx="23">
                  <c:v>3.964</c:v>
                </c:pt>
                <c:pt idx="24">
                  <c:v>3.9590000000000001</c:v>
                </c:pt>
                <c:pt idx="25">
                  <c:v>3.9590000000000001</c:v>
                </c:pt>
                <c:pt idx="26">
                  <c:v>3.9590000000000001</c:v>
                </c:pt>
                <c:pt idx="27">
                  <c:v>3.9590000000000001</c:v>
                </c:pt>
                <c:pt idx="28">
                  <c:v>3.9590000000000001</c:v>
                </c:pt>
                <c:pt idx="29">
                  <c:v>3.9590000000000001</c:v>
                </c:pt>
                <c:pt idx="30">
                  <c:v>3.9590000000000001</c:v>
                </c:pt>
                <c:pt idx="31">
                  <c:v>3.9590000000000001</c:v>
                </c:pt>
                <c:pt idx="32">
                  <c:v>3.9590000000000001</c:v>
                </c:pt>
                <c:pt idx="33">
                  <c:v>3.9590000000000001</c:v>
                </c:pt>
                <c:pt idx="34">
                  <c:v>3.964</c:v>
                </c:pt>
                <c:pt idx="35">
                  <c:v>3.964</c:v>
                </c:pt>
                <c:pt idx="36">
                  <c:v>3.964</c:v>
                </c:pt>
                <c:pt idx="37">
                  <c:v>3.9590000000000001</c:v>
                </c:pt>
                <c:pt idx="38">
                  <c:v>3.964</c:v>
                </c:pt>
                <c:pt idx="39">
                  <c:v>3.9590000000000001</c:v>
                </c:pt>
                <c:pt idx="40">
                  <c:v>3.9590000000000001</c:v>
                </c:pt>
                <c:pt idx="41">
                  <c:v>3.964</c:v>
                </c:pt>
                <c:pt idx="42">
                  <c:v>3.9590000000000001</c:v>
                </c:pt>
                <c:pt idx="43">
                  <c:v>3.9590000000000001</c:v>
                </c:pt>
                <c:pt idx="44">
                  <c:v>3.9590000000000001</c:v>
                </c:pt>
                <c:pt idx="45">
                  <c:v>3.9590000000000001</c:v>
                </c:pt>
                <c:pt idx="46">
                  <c:v>3.964</c:v>
                </c:pt>
                <c:pt idx="47">
                  <c:v>3.964</c:v>
                </c:pt>
                <c:pt idx="48">
                  <c:v>3.964</c:v>
                </c:pt>
                <c:pt idx="49">
                  <c:v>3.964</c:v>
                </c:pt>
                <c:pt idx="50">
                  <c:v>3.964</c:v>
                </c:pt>
                <c:pt idx="51">
                  <c:v>3.964</c:v>
                </c:pt>
                <c:pt idx="52">
                  <c:v>3.964</c:v>
                </c:pt>
                <c:pt idx="53">
                  <c:v>3.964</c:v>
                </c:pt>
                <c:pt idx="54">
                  <c:v>3.964</c:v>
                </c:pt>
                <c:pt idx="55">
                  <c:v>3.964</c:v>
                </c:pt>
                <c:pt idx="56">
                  <c:v>3.964</c:v>
                </c:pt>
                <c:pt idx="57">
                  <c:v>3.964</c:v>
                </c:pt>
                <c:pt idx="58">
                  <c:v>3.964</c:v>
                </c:pt>
                <c:pt idx="59">
                  <c:v>3.964</c:v>
                </c:pt>
                <c:pt idx="60">
                  <c:v>3.964</c:v>
                </c:pt>
                <c:pt idx="61">
                  <c:v>3.964</c:v>
                </c:pt>
                <c:pt idx="62">
                  <c:v>3.964</c:v>
                </c:pt>
                <c:pt idx="63">
                  <c:v>3.964</c:v>
                </c:pt>
                <c:pt idx="64">
                  <c:v>3.9590000000000001</c:v>
                </c:pt>
                <c:pt idx="65">
                  <c:v>3.9540000000000002</c:v>
                </c:pt>
                <c:pt idx="66">
                  <c:v>3.9590000000000001</c:v>
                </c:pt>
                <c:pt idx="67">
                  <c:v>3.9540000000000002</c:v>
                </c:pt>
                <c:pt idx="68">
                  <c:v>3.9540000000000002</c:v>
                </c:pt>
                <c:pt idx="69">
                  <c:v>3.9540000000000002</c:v>
                </c:pt>
                <c:pt idx="70">
                  <c:v>3.9540000000000002</c:v>
                </c:pt>
                <c:pt idx="71">
                  <c:v>3.9540000000000002</c:v>
                </c:pt>
                <c:pt idx="72">
                  <c:v>3.9540000000000002</c:v>
                </c:pt>
                <c:pt idx="73">
                  <c:v>3.9540000000000002</c:v>
                </c:pt>
                <c:pt idx="74">
                  <c:v>3.9540000000000002</c:v>
                </c:pt>
                <c:pt idx="75">
                  <c:v>3.9540000000000002</c:v>
                </c:pt>
                <c:pt idx="76">
                  <c:v>3.9540000000000002</c:v>
                </c:pt>
                <c:pt idx="77">
                  <c:v>3.9540000000000002</c:v>
                </c:pt>
                <c:pt idx="78">
                  <c:v>3.9540000000000002</c:v>
                </c:pt>
                <c:pt idx="79">
                  <c:v>3.9540000000000002</c:v>
                </c:pt>
                <c:pt idx="80">
                  <c:v>3.9540000000000002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DA-452F-B024-20D2418B291D}"/>
            </c:ext>
          </c:extLst>
        </c:ser>
        <c:ser>
          <c:idx val="1"/>
          <c:order val="1"/>
          <c:tx>
            <c:strRef>
              <c:f>in!$K$14</c:f>
              <c:strCache>
                <c:ptCount val="1"/>
                <c:pt idx="0">
                  <c:v>CELL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in!$K$15:$K$95</c:f>
              <c:numCache>
                <c:formatCode>0.000</c:formatCode>
                <c:ptCount val="81"/>
                <c:pt idx="0">
                  <c:v>3.9740000000000002</c:v>
                </c:pt>
                <c:pt idx="1">
                  <c:v>3.9740000000000002</c:v>
                </c:pt>
                <c:pt idx="2">
                  <c:v>3.9740000000000002</c:v>
                </c:pt>
                <c:pt idx="3">
                  <c:v>3.97</c:v>
                </c:pt>
                <c:pt idx="4">
                  <c:v>3.97</c:v>
                </c:pt>
                <c:pt idx="5">
                  <c:v>3.97</c:v>
                </c:pt>
                <c:pt idx="6">
                  <c:v>3.9740000000000002</c:v>
                </c:pt>
                <c:pt idx="7">
                  <c:v>3.97</c:v>
                </c:pt>
                <c:pt idx="8">
                  <c:v>3.9649999999999999</c:v>
                </c:pt>
                <c:pt idx="9">
                  <c:v>3.97</c:v>
                </c:pt>
                <c:pt idx="10">
                  <c:v>3.97</c:v>
                </c:pt>
                <c:pt idx="11">
                  <c:v>3.97</c:v>
                </c:pt>
                <c:pt idx="12">
                  <c:v>3.97</c:v>
                </c:pt>
                <c:pt idx="13">
                  <c:v>3.97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3.97</c:v>
                </c:pt>
                <c:pt idx="18">
                  <c:v>3.97</c:v>
                </c:pt>
                <c:pt idx="19">
                  <c:v>3.97</c:v>
                </c:pt>
                <c:pt idx="20">
                  <c:v>3.97</c:v>
                </c:pt>
                <c:pt idx="21">
                  <c:v>3.9649999999999999</c:v>
                </c:pt>
                <c:pt idx="22">
                  <c:v>3.97</c:v>
                </c:pt>
                <c:pt idx="23">
                  <c:v>3.9649999999999999</c:v>
                </c:pt>
                <c:pt idx="24">
                  <c:v>3.97</c:v>
                </c:pt>
                <c:pt idx="25">
                  <c:v>3.97</c:v>
                </c:pt>
                <c:pt idx="26">
                  <c:v>3.97</c:v>
                </c:pt>
                <c:pt idx="27">
                  <c:v>3.97</c:v>
                </c:pt>
                <c:pt idx="28">
                  <c:v>3.97</c:v>
                </c:pt>
                <c:pt idx="29">
                  <c:v>3.97</c:v>
                </c:pt>
                <c:pt idx="30">
                  <c:v>3.97</c:v>
                </c:pt>
                <c:pt idx="31">
                  <c:v>3.97</c:v>
                </c:pt>
                <c:pt idx="32">
                  <c:v>3.97</c:v>
                </c:pt>
                <c:pt idx="33">
                  <c:v>3.97</c:v>
                </c:pt>
                <c:pt idx="34">
                  <c:v>3.9649999999999999</c:v>
                </c:pt>
                <c:pt idx="35">
                  <c:v>3.9649999999999999</c:v>
                </c:pt>
                <c:pt idx="36">
                  <c:v>3.9649999999999999</c:v>
                </c:pt>
                <c:pt idx="37">
                  <c:v>3.97</c:v>
                </c:pt>
                <c:pt idx="38">
                  <c:v>3.9649999999999999</c:v>
                </c:pt>
                <c:pt idx="39">
                  <c:v>3.97</c:v>
                </c:pt>
                <c:pt idx="40">
                  <c:v>3.97</c:v>
                </c:pt>
                <c:pt idx="41">
                  <c:v>3.9649999999999999</c:v>
                </c:pt>
                <c:pt idx="42">
                  <c:v>3.97</c:v>
                </c:pt>
                <c:pt idx="43">
                  <c:v>3.97</c:v>
                </c:pt>
                <c:pt idx="44">
                  <c:v>3.97</c:v>
                </c:pt>
                <c:pt idx="45">
                  <c:v>3.97</c:v>
                </c:pt>
                <c:pt idx="46">
                  <c:v>3.9649999999999999</c:v>
                </c:pt>
                <c:pt idx="47">
                  <c:v>3.9649999999999999</c:v>
                </c:pt>
                <c:pt idx="48">
                  <c:v>3.9649999999999999</c:v>
                </c:pt>
                <c:pt idx="49">
                  <c:v>3.9649999999999999</c:v>
                </c:pt>
                <c:pt idx="50">
                  <c:v>3.9649999999999999</c:v>
                </c:pt>
                <c:pt idx="51">
                  <c:v>3.9740000000000002</c:v>
                </c:pt>
                <c:pt idx="52">
                  <c:v>3.9649999999999999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3.9740000000000002</c:v>
                </c:pt>
                <c:pt idx="56">
                  <c:v>3.9740000000000002</c:v>
                </c:pt>
                <c:pt idx="57">
                  <c:v>3.9740000000000002</c:v>
                </c:pt>
                <c:pt idx="58">
                  <c:v>3.9740000000000002</c:v>
                </c:pt>
                <c:pt idx="59">
                  <c:v>3.9740000000000002</c:v>
                </c:pt>
                <c:pt idx="60">
                  <c:v>3.9740000000000002</c:v>
                </c:pt>
                <c:pt idx="61">
                  <c:v>3.9740000000000002</c:v>
                </c:pt>
                <c:pt idx="62">
                  <c:v>3.9740000000000002</c:v>
                </c:pt>
                <c:pt idx="63">
                  <c:v>3.9740000000000002</c:v>
                </c:pt>
                <c:pt idx="64">
                  <c:v>3.97</c:v>
                </c:pt>
                <c:pt idx="65">
                  <c:v>3.9660000000000002</c:v>
                </c:pt>
                <c:pt idx="66">
                  <c:v>3.9609999999999999</c:v>
                </c:pt>
                <c:pt idx="67">
                  <c:v>3.9660000000000002</c:v>
                </c:pt>
                <c:pt idx="68">
                  <c:v>3.9660000000000002</c:v>
                </c:pt>
                <c:pt idx="69">
                  <c:v>3.9660000000000002</c:v>
                </c:pt>
                <c:pt idx="70">
                  <c:v>3.9660000000000002</c:v>
                </c:pt>
                <c:pt idx="71">
                  <c:v>3.9660000000000002</c:v>
                </c:pt>
                <c:pt idx="72">
                  <c:v>3.9660000000000002</c:v>
                </c:pt>
                <c:pt idx="73">
                  <c:v>3.9660000000000002</c:v>
                </c:pt>
                <c:pt idx="74">
                  <c:v>3.9660000000000002</c:v>
                </c:pt>
                <c:pt idx="75">
                  <c:v>3.9660000000000002</c:v>
                </c:pt>
                <c:pt idx="76">
                  <c:v>3.9660000000000002</c:v>
                </c:pt>
                <c:pt idx="77">
                  <c:v>3.9660000000000002</c:v>
                </c:pt>
                <c:pt idx="78">
                  <c:v>3.9660000000000002</c:v>
                </c:pt>
                <c:pt idx="79">
                  <c:v>3.9660000000000002</c:v>
                </c:pt>
                <c:pt idx="80">
                  <c:v>3.9660000000000002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DA-452F-B024-20D2418B291D}"/>
            </c:ext>
          </c:extLst>
        </c:ser>
        <c:ser>
          <c:idx val="2"/>
          <c:order val="2"/>
          <c:tx>
            <c:strRef>
              <c:f>in!$L$14</c:f>
              <c:strCache>
                <c:ptCount val="1"/>
                <c:pt idx="0">
                  <c:v>CELL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in!$L$15:$L$95</c:f>
              <c:numCache>
                <c:formatCode>0.000</c:formatCode>
                <c:ptCount val="81"/>
                <c:pt idx="0">
                  <c:v>3.8940000000000001</c:v>
                </c:pt>
                <c:pt idx="1">
                  <c:v>3.8940000000000001</c:v>
                </c:pt>
                <c:pt idx="2">
                  <c:v>3.88</c:v>
                </c:pt>
                <c:pt idx="3">
                  <c:v>3.8740000000000001</c:v>
                </c:pt>
                <c:pt idx="4">
                  <c:v>3.8740000000000001</c:v>
                </c:pt>
                <c:pt idx="5">
                  <c:v>3.8740000000000001</c:v>
                </c:pt>
                <c:pt idx="6">
                  <c:v>3.8940000000000001</c:v>
                </c:pt>
                <c:pt idx="7">
                  <c:v>3.8889999999999998</c:v>
                </c:pt>
                <c:pt idx="8">
                  <c:v>3.8889999999999998</c:v>
                </c:pt>
                <c:pt idx="9">
                  <c:v>3.8889999999999998</c:v>
                </c:pt>
                <c:pt idx="10">
                  <c:v>3.8889999999999998</c:v>
                </c:pt>
                <c:pt idx="11">
                  <c:v>3.8889999999999998</c:v>
                </c:pt>
                <c:pt idx="12">
                  <c:v>3.8740000000000001</c:v>
                </c:pt>
                <c:pt idx="13">
                  <c:v>3.8889999999999998</c:v>
                </c:pt>
                <c:pt idx="14">
                  <c:v>3.8889999999999998</c:v>
                </c:pt>
                <c:pt idx="15">
                  <c:v>3.8889999999999998</c:v>
                </c:pt>
                <c:pt idx="16">
                  <c:v>3.8889999999999998</c:v>
                </c:pt>
                <c:pt idx="17">
                  <c:v>3.8889999999999998</c:v>
                </c:pt>
                <c:pt idx="18">
                  <c:v>3.8889999999999998</c:v>
                </c:pt>
                <c:pt idx="19">
                  <c:v>3.8889999999999998</c:v>
                </c:pt>
                <c:pt idx="20">
                  <c:v>3.8889999999999998</c:v>
                </c:pt>
                <c:pt idx="21">
                  <c:v>3.8889999999999998</c:v>
                </c:pt>
                <c:pt idx="22">
                  <c:v>3.8889999999999998</c:v>
                </c:pt>
                <c:pt idx="23">
                  <c:v>3.8889999999999998</c:v>
                </c:pt>
                <c:pt idx="24">
                  <c:v>3.8889999999999998</c:v>
                </c:pt>
                <c:pt idx="25">
                  <c:v>3.8889999999999998</c:v>
                </c:pt>
                <c:pt idx="26">
                  <c:v>3.8889999999999998</c:v>
                </c:pt>
                <c:pt idx="27">
                  <c:v>3.8889999999999998</c:v>
                </c:pt>
                <c:pt idx="28">
                  <c:v>3.8889999999999998</c:v>
                </c:pt>
                <c:pt idx="29">
                  <c:v>3.8889999999999998</c:v>
                </c:pt>
                <c:pt idx="30">
                  <c:v>3.8889999999999998</c:v>
                </c:pt>
                <c:pt idx="31">
                  <c:v>3.8889999999999998</c:v>
                </c:pt>
                <c:pt idx="32">
                  <c:v>3.8889999999999998</c:v>
                </c:pt>
                <c:pt idx="33">
                  <c:v>3.8889999999999998</c:v>
                </c:pt>
                <c:pt idx="34">
                  <c:v>3.8889999999999998</c:v>
                </c:pt>
                <c:pt idx="35">
                  <c:v>3.8889999999999998</c:v>
                </c:pt>
                <c:pt idx="36">
                  <c:v>3.8889999999999998</c:v>
                </c:pt>
                <c:pt idx="37">
                  <c:v>3.8889999999999998</c:v>
                </c:pt>
                <c:pt idx="38">
                  <c:v>3.8889999999999998</c:v>
                </c:pt>
                <c:pt idx="39">
                  <c:v>3.8889999999999998</c:v>
                </c:pt>
                <c:pt idx="40">
                  <c:v>3.8889999999999998</c:v>
                </c:pt>
                <c:pt idx="41">
                  <c:v>3.8889999999999998</c:v>
                </c:pt>
                <c:pt idx="42">
                  <c:v>3.8889999999999998</c:v>
                </c:pt>
                <c:pt idx="43">
                  <c:v>3.8889999999999998</c:v>
                </c:pt>
                <c:pt idx="44">
                  <c:v>3.8889999999999998</c:v>
                </c:pt>
                <c:pt idx="45">
                  <c:v>3.8889999999999998</c:v>
                </c:pt>
                <c:pt idx="46">
                  <c:v>3.8889999999999998</c:v>
                </c:pt>
                <c:pt idx="47">
                  <c:v>3.8889999999999998</c:v>
                </c:pt>
                <c:pt idx="48">
                  <c:v>3.8889999999999998</c:v>
                </c:pt>
                <c:pt idx="49">
                  <c:v>3.8889999999999998</c:v>
                </c:pt>
                <c:pt idx="50">
                  <c:v>3.8889999999999998</c:v>
                </c:pt>
                <c:pt idx="51">
                  <c:v>3.88</c:v>
                </c:pt>
                <c:pt idx="52">
                  <c:v>3.8889999999999998</c:v>
                </c:pt>
                <c:pt idx="53">
                  <c:v>3.8889999999999998</c:v>
                </c:pt>
                <c:pt idx="54">
                  <c:v>3.8889999999999998</c:v>
                </c:pt>
                <c:pt idx="55">
                  <c:v>3.88</c:v>
                </c:pt>
                <c:pt idx="56">
                  <c:v>3.88</c:v>
                </c:pt>
                <c:pt idx="57">
                  <c:v>3.88</c:v>
                </c:pt>
                <c:pt idx="58">
                  <c:v>3.88</c:v>
                </c:pt>
                <c:pt idx="59">
                  <c:v>3.88</c:v>
                </c:pt>
                <c:pt idx="60">
                  <c:v>3.88</c:v>
                </c:pt>
                <c:pt idx="61">
                  <c:v>3.88</c:v>
                </c:pt>
                <c:pt idx="62">
                  <c:v>3.88</c:v>
                </c:pt>
                <c:pt idx="63">
                  <c:v>3.88</c:v>
                </c:pt>
                <c:pt idx="64">
                  <c:v>3.8740000000000001</c:v>
                </c:pt>
                <c:pt idx="65">
                  <c:v>3.883</c:v>
                </c:pt>
                <c:pt idx="66">
                  <c:v>3.883</c:v>
                </c:pt>
                <c:pt idx="67">
                  <c:v>3.883</c:v>
                </c:pt>
                <c:pt idx="68">
                  <c:v>3.883</c:v>
                </c:pt>
                <c:pt idx="69">
                  <c:v>3.883</c:v>
                </c:pt>
                <c:pt idx="70">
                  <c:v>3.883</c:v>
                </c:pt>
                <c:pt idx="71">
                  <c:v>3.883</c:v>
                </c:pt>
                <c:pt idx="72">
                  <c:v>3.883</c:v>
                </c:pt>
                <c:pt idx="73">
                  <c:v>3.883</c:v>
                </c:pt>
                <c:pt idx="74">
                  <c:v>3.883</c:v>
                </c:pt>
                <c:pt idx="75">
                  <c:v>3.883</c:v>
                </c:pt>
                <c:pt idx="76">
                  <c:v>3.883</c:v>
                </c:pt>
                <c:pt idx="77">
                  <c:v>3.883</c:v>
                </c:pt>
                <c:pt idx="78">
                  <c:v>3.883</c:v>
                </c:pt>
                <c:pt idx="79">
                  <c:v>3.883</c:v>
                </c:pt>
                <c:pt idx="80">
                  <c:v>3.883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DA-452F-B024-20D2418B291D}"/>
            </c:ext>
          </c:extLst>
        </c:ser>
        <c:ser>
          <c:idx val="3"/>
          <c:order val="3"/>
          <c:tx>
            <c:strRef>
              <c:f>in!$M$14</c:f>
              <c:strCache>
                <c:ptCount val="1"/>
                <c:pt idx="0">
                  <c:v>CELL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in!$M$15:$M$95</c:f>
              <c:numCache>
                <c:formatCode>0.000</c:formatCode>
                <c:ptCount val="81"/>
                <c:pt idx="0">
                  <c:v>3.819</c:v>
                </c:pt>
                <c:pt idx="1">
                  <c:v>3.8010000000000002</c:v>
                </c:pt>
                <c:pt idx="2">
                  <c:v>3.8149999999999999</c:v>
                </c:pt>
                <c:pt idx="3">
                  <c:v>3.8119999999999998</c:v>
                </c:pt>
                <c:pt idx="4">
                  <c:v>3.8119999999999998</c:v>
                </c:pt>
                <c:pt idx="5">
                  <c:v>3.8119999999999998</c:v>
                </c:pt>
                <c:pt idx="6">
                  <c:v>3.8010000000000002</c:v>
                </c:pt>
                <c:pt idx="7">
                  <c:v>3.7970000000000002</c:v>
                </c:pt>
                <c:pt idx="8">
                  <c:v>3.8149999999999999</c:v>
                </c:pt>
                <c:pt idx="9">
                  <c:v>3.7970000000000002</c:v>
                </c:pt>
                <c:pt idx="10">
                  <c:v>3.7970000000000002</c:v>
                </c:pt>
                <c:pt idx="11">
                  <c:v>3.7970000000000002</c:v>
                </c:pt>
                <c:pt idx="12">
                  <c:v>3.8119999999999998</c:v>
                </c:pt>
                <c:pt idx="13">
                  <c:v>3.7970000000000002</c:v>
                </c:pt>
                <c:pt idx="14">
                  <c:v>3.7970000000000002</c:v>
                </c:pt>
                <c:pt idx="15">
                  <c:v>3.7970000000000002</c:v>
                </c:pt>
                <c:pt idx="16">
                  <c:v>3.7970000000000002</c:v>
                </c:pt>
                <c:pt idx="17">
                  <c:v>3.7970000000000002</c:v>
                </c:pt>
                <c:pt idx="18">
                  <c:v>3.7970000000000002</c:v>
                </c:pt>
                <c:pt idx="19">
                  <c:v>3.8149999999999999</c:v>
                </c:pt>
                <c:pt idx="20">
                  <c:v>3.7970000000000002</c:v>
                </c:pt>
                <c:pt idx="21">
                  <c:v>3.7970000000000002</c:v>
                </c:pt>
                <c:pt idx="22">
                  <c:v>3.7970000000000002</c:v>
                </c:pt>
                <c:pt idx="23">
                  <c:v>3.8149999999999999</c:v>
                </c:pt>
                <c:pt idx="24">
                  <c:v>3.8149999999999999</c:v>
                </c:pt>
                <c:pt idx="25">
                  <c:v>3.7970000000000002</c:v>
                </c:pt>
                <c:pt idx="26">
                  <c:v>3.7970000000000002</c:v>
                </c:pt>
                <c:pt idx="27">
                  <c:v>3.7970000000000002</c:v>
                </c:pt>
                <c:pt idx="28">
                  <c:v>3.7970000000000002</c:v>
                </c:pt>
                <c:pt idx="29">
                  <c:v>3.7970000000000002</c:v>
                </c:pt>
                <c:pt idx="30">
                  <c:v>3.7970000000000002</c:v>
                </c:pt>
                <c:pt idx="31">
                  <c:v>3.7970000000000002</c:v>
                </c:pt>
                <c:pt idx="32">
                  <c:v>3.7970000000000002</c:v>
                </c:pt>
                <c:pt idx="33">
                  <c:v>3.8149999999999999</c:v>
                </c:pt>
                <c:pt idx="34">
                  <c:v>3.8149999999999999</c:v>
                </c:pt>
                <c:pt idx="35">
                  <c:v>3.8149999999999999</c:v>
                </c:pt>
                <c:pt idx="36">
                  <c:v>3.8149999999999999</c:v>
                </c:pt>
                <c:pt idx="37">
                  <c:v>3.8149999999999999</c:v>
                </c:pt>
                <c:pt idx="38">
                  <c:v>3.8149999999999999</c:v>
                </c:pt>
                <c:pt idx="39">
                  <c:v>3.8149999999999999</c:v>
                </c:pt>
                <c:pt idx="40">
                  <c:v>3.8149999999999999</c:v>
                </c:pt>
                <c:pt idx="41">
                  <c:v>3.8149999999999999</c:v>
                </c:pt>
                <c:pt idx="42">
                  <c:v>3.8149999999999999</c:v>
                </c:pt>
                <c:pt idx="43">
                  <c:v>3.8149999999999999</c:v>
                </c:pt>
                <c:pt idx="44">
                  <c:v>3.8149999999999999</c:v>
                </c:pt>
                <c:pt idx="45">
                  <c:v>3.8149999999999999</c:v>
                </c:pt>
                <c:pt idx="46">
                  <c:v>3.8149999999999999</c:v>
                </c:pt>
                <c:pt idx="47">
                  <c:v>3.8149999999999999</c:v>
                </c:pt>
                <c:pt idx="48">
                  <c:v>3.8149999999999999</c:v>
                </c:pt>
                <c:pt idx="49">
                  <c:v>3.8149999999999999</c:v>
                </c:pt>
                <c:pt idx="50">
                  <c:v>3.7970000000000002</c:v>
                </c:pt>
                <c:pt idx="51">
                  <c:v>3.8149999999999999</c:v>
                </c:pt>
                <c:pt idx="52">
                  <c:v>3.8149999999999999</c:v>
                </c:pt>
                <c:pt idx="53">
                  <c:v>3.8149999999999999</c:v>
                </c:pt>
                <c:pt idx="54">
                  <c:v>3.8149999999999999</c:v>
                </c:pt>
                <c:pt idx="55">
                  <c:v>3.8149999999999999</c:v>
                </c:pt>
                <c:pt idx="56">
                  <c:v>3.8149999999999999</c:v>
                </c:pt>
                <c:pt idx="57">
                  <c:v>3.8149999999999999</c:v>
                </c:pt>
                <c:pt idx="58">
                  <c:v>3.8149999999999999</c:v>
                </c:pt>
                <c:pt idx="59">
                  <c:v>3.8149999999999999</c:v>
                </c:pt>
                <c:pt idx="60">
                  <c:v>3.8149999999999999</c:v>
                </c:pt>
                <c:pt idx="61">
                  <c:v>3.8149999999999999</c:v>
                </c:pt>
                <c:pt idx="62">
                  <c:v>3.8149999999999999</c:v>
                </c:pt>
                <c:pt idx="63">
                  <c:v>3.8330000000000002</c:v>
                </c:pt>
                <c:pt idx="64">
                  <c:v>3.8119999999999998</c:v>
                </c:pt>
                <c:pt idx="65">
                  <c:v>3.794</c:v>
                </c:pt>
                <c:pt idx="66">
                  <c:v>3.8119999999999998</c:v>
                </c:pt>
                <c:pt idx="67">
                  <c:v>3.794</c:v>
                </c:pt>
                <c:pt idx="68">
                  <c:v>3.794</c:v>
                </c:pt>
                <c:pt idx="69">
                  <c:v>3.8119999999999998</c:v>
                </c:pt>
                <c:pt idx="70">
                  <c:v>3.794</c:v>
                </c:pt>
                <c:pt idx="71">
                  <c:v>3.794</c:v>
                </c:pt>
                <c:pt idx="72">
                  <c:v>3.794</c:v>
                </c:pt>
                <c:pt idx="73">
                  <c:v>3.794</c:v>
                </c:pt>
                <c:pt idx="74">
                  <c:v>3.794</c:v>
                </c:pt>
                <c:pt idx="75">
                  <c:v>3.794</c:v>
                </c:pt>
                <c:pt idx="76">
                  <c:v>3.794</c:v>
                </c:pt>
                <c:pt idx="77">
                  <c:v>3.794</c:v>
                </c:pt>
                <c:pt idx="78">
                  <c:v>3.794</c:v>
                </c:pt>
                <c:pt idx="79">
                  <c:v>3.794</c:v>
                </c:pt>
                <c:pt idx="80">
                  <c:v>3.794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DA-452F-B024-20D2418B291D}"/>
            </c:ext>
          </c:extLst>
        </c:ser>
        <c:ser>
          <c:idx val="4"/>
          <c:order val="4"/>
          <c:tx>
            <c:strRef>
              <c:f>in!$N$14</c:f>
              <c:strCache>
                <c:ptCount val="1"/>
                <c:pt idx="0">
                  <c:v>CELL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in!$N$15:$N$95</c:f>
              <c:numCache>
                <c:formatCode>0.000</c:formatCode>
                <c:ptCount val="81"/>
                <c:pt idx="0">
                  <c:v>4.0670000000000002</c:v>
                </c:pt>
                <c:pt idx="1">
                  <c:v>4.0670000000000002</c:v>
                </c:pt>
                <c:pt idx="2">
                  <c:v>4.0949999999999998</c:v>
                </c:pt>
                <c:pt idx="3">
                  <c:v>4.085</c:v>
                </c:pt>
                <c:pt idx="4">
                  <c:v>4.085</c:v>
                </c:pt>
                <c:pt idx="5">
                  <c:v>4.085</c:v>
                </c:pt>
                <c:pt idx="6">
                  <c:v>4.085</c:v>
                </c:pt>
                <c:pt idx="7">
                  <c:v>4.085</c:v>
                </c:pt>
                <c:pt idx="8">
                  <c:v>4.085</c:v>
                </c:pt>
                <c:pt idx="9">
                  <c:v>4.085</c:v>
                </c:pt>
                <c:pt idx="10">
                  <c:v>4.085</c:v>
                </c:pt>
                <c:pt idx="11">
                  <c:v>4.085</c:v>
                </c:pt>
                <c:pt idx="12">
                  <c:v>4.085</c:v>
                </c:pt>
                <c:pt idx="13">
                  <c:v>4.085</c:v>
                </c:pt>
                <c:pt idx="14">
                  <c:v>4.085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4.085</c:v>
                </c:pt>
                <c:pt idx="21">
                  <c:v>4.085</c:v>
                </c:pt>
                <c:pt idx="22">
                  <c:v>4.085</c:v>
                </c:pt>
                <c:pt idx="23">
                  <c:v>4.085</c:v>
                </c:pt>
                <c:pt idx="24">
                  <c:v>4.085</c:v>
                </c:pt>
                <c:pt idx="25">
                  <c:v>4.085</c:v>
                </c:pt>
                <c:pt idx="26">
                  <c:v>4.085</c:v>
                </c:pt>
                <c:pt idx="27">
                  <c:v>4.085</c:v>
                </c:pt>
                <c:pt idx="28">
                  <c:v>4.085</c:v>
                </c:pt>
                <c:pt idx="29">
                  <c:v>4.085</c:v>
                </c:pt>
                <c:pt idx="30">
                  <c:v>4.085</c:v>
                </c:pt>
                <c:pt idx="31">
                  <c:v>4.085</c:v>
                </c:pt>
                <c:pt idx="32">
                  <c:v>4.085</c:v>
                </c:pt>
                <c:pt idx="33">
                  <c:v>4.085</c:v>
                </c:pt>
                <c:pt idx="34">
                  <c:v>4.085</c:v>
                </c:pt>
                <c:pt idx="35">
                  <c:v>4.085</c:v>
                </c:pt>
                <c:pt idx="36">
                  <c:v>4.085</c:v>
                </c:pt>
                <c:pt idx="37">
                  <c:v>4.085</c:v>
                </c:pt>
                <c:pt idx="38">
                  <c:v>4.085</c:v>
                </c:pt>
                <c:pt idx="39">
                  <c:v>4.085</c:v>
                </c:pt>
                <c:pt idx="40">
                  <c:v>4.085</c:v>
                </c:pt>
                <c:pt idx="41">
                  <c:v>4.085</c:v>
                </c:pt>
                <c:pt idx="42">
                  <c:v>4.085</c:v>
                </c:pt>
                <c:pt idx="43">
                  <c:v>4.085</c:v>
                </c:pt>
                <c:pt idx="44">
                  <c:v>4.085</c:v>
                </c:pt>
                <c:pt idx="45">
                  <c:v>4.085</c:v>
                </c:pt>
                <c:pt idx="46">
                  <c:v>4.085</c:v>
                </c:pt>
                <c:pt idx="47">
                  <c:v>4.085</c:v>
                </c:pt>
                <c:pt idx="48">
                  <c:v>4.085</c:v>
                </c:pt>
                <c:pt idx="49">
                  <c:v>4.085</c:v>
                </c:pt>
                <c:pt idx="50">
                  <c:v>4.085</c:v>
                </c:pt>
                <c:pt idx="51">
                  <c:v>4.0670000000000002</c:v>
                </c:pt>
                <c:pt idx="52">
                  <c:v>4.085</c:v>
                </c:pt>
                <c:pt idx="53">
                  <c:v>4.0670000000000002</c:v>
                </c:pt>
                <c:pt idx="54">
                  <c:v>4.085</c:v>
                </c:pt>
                <c:pt idx="55">
                  <c:v>4.085</c:v>
                </c:pt>
                <c:pt idx="56">
                  <c:v>4.0670000000000002</c:v>
                </c:pt>
                <c:pt idx="57">
                  <c:v>4.085</c:v>
                </c:pt>
                <c:pt idx="58">
                  <c:v>4.0670000000000002</c:v>
                </c:pt>
                <c:pt idx="59">
                  <c:v>4.085</c:v>
                </c:pt>
                <c:pt idx="60">
                  <c:v>4.085</c:v>
                </c:pt>
                <c:pt idx="61">
                  <c:v>4.085</c:v>
                </c:pt>
                <c:pt idx="62">
                  <c:v>4.0670000000000002</c:v>
                </c:pt>
                <c:pt idx="63">
                  <c:v>4.0670000000000002</c:v>
                </c:pt>
                <c:pt idx="64">
                  <c:v>4.0579999999999998</c:v>
                </c:pt>
                <c:pt idx="65">
                  <c:v>4.0759999999999996</c:v>
                </c:pt>
                <c:pt idx="66">
                  <c:v>4.0759999999999996</c:v>
                </c:pt>
                <c:pt idx="67">
                  <c:v>4.0759999999999996</c:v>
                </c:pt>
                <c:pt idx="68">
                  <c:v>4.0759999999999996</c:v>
                </c:pt>
                <c:pt idx="69">
                  <c:v>4.0759999999999996</c:v>
                </c:pt>
                <c:pt idx="70">
                  <c:v>4.0759999999999996</c:v>
                </c:pt>
                <c:pt idx="71">
                  <c:v>4.0759999999999996</c:v>
                </c:pt>
                <c:pt idx="72">
                  <c:v>4.0759999999999996</c:v>
                </c:pt>
                <c:pt idx="73">
                  <c:v>4.0759999999999996</c:v>
                </c:pt>
                <c:pt idx="74">
                  <c:v>4.0759999999999996</c:v>
                </c:pt>
                <c:pt idx="75">
                  <c:v>4.0759999999999996</c:v>
                </c:pt>
                <c:pt idx="76">
                  <c:v>4.0759999999999996</c:v>
                </c:pt>
                <c:pt idx="77">
                  <c:v>4.0759999999999996</c:v>
                </c:pt>
                <c:pt idx="78">
                  <c:v>4.0759999999999996</c:v>
                </c:pt>
                <c:pt idx="79">
                  <c:v>4.0759999999999996</c:v>
                </c:pt>
                <c:pt idx="80">
                  <c:v>4.0759999999999996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DA-452F-B024-20D2418B291D}"/>
            </c:ext>
          </c:extLst>
        </c:ser>
        <c:ser>
          <c:idx val="5"/>
          <c:order val="5"/>
          <c:tx>
            <c:strRef>
              <c:f>in!$O$14</c:f>
              <c:strCache>
                <c:ptCount val="1"/>
                <c:pt idx="0">
                  <c:v>CELL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in!$O$15:$O$95</c:f>
              <c:numCache>
                <c:formatCode>0.000</c:formatCode>
                <c:ptCount val="81"/>
                <c:pt idx="0">
                  <c:v>3.9820000000000002</c:v>
                </c:pt>
                <c:pt idx="1">
                  <c:v>3.9820000000000002</c:v>
                </c:pt>
                <c:pt idx="2">
                  <c:v>3.9550000000000001</c:v>
                </c:pt>
                <c:pt idx="3">
                  <c:v>3.9540000000000002</c:v>
                </c:pt>
                <c:pt idx="4">
                  <c:v>3.9540000000000002</c:v>
                </c:pt>
                <c:pt idx="5">
                  <c:v>3.9540000000000002</c:v>
                </c:pt>
                <c:pt idx="6">
                  <c:v>3.9540000000000002</c:v>
                </c:pt>
                <c:pt idx="7">
                  <c:v>3.9540000000000002</c:v>
                </c:pt>
                <c:pt idx="8">
                  <c:v>3.9540000000000002</c:v>
                </c:pt>
                <c:pt idx="9">
                  <c:v>3.9540000000000002</c:v>
                </c:pt>
                <c:pt idx="10">
                  <c:v>3.9540000000000002</c:v>
                </c:pt>
                <c:pt idx="11">
                  <c:v>3.9540000000000002</c:v>
                </c:pt>
                <c:pt idx="12">
                  <c:v>3.9540000000000002</c:v>
                </c:pt>
                <c:pt idx="13">
                  <c:v>3.9540000000000002</c:v>
                </c:pt>
                <c:pt idx="14">
                  <c:v>3.9540000000000002</c:v>
                </c:pt>
                <c:pt idx="15">
                  <c:v>3.9540000000000002</c:v>
                </c:pt>
                <c:pt idx="16">
                  <c:v>3.9540000000000002</c:v>
                </c:pt>
                <c:pt idx="17">
                  <c:v>3.9540000000000002</c:v>
                </c:pt>
                <c:pt idx="18">
                  <c:v>3.9540000000000002</c:v>
                </c:pt>
                <c:pt idx="19">
                  <c:v>3.9540000000000002</c:v>
                </c:pt>
                <c:pt idx="20">
                  <c:v>3.9540000000000002</c:v>
                </c:pt>
                <c:pt idx="21">
                  <c:v>3.9540000000000002</c:v>
                </c:pt>
                <c:pt idx="22">
                  <c:v>3.9540000000000002</c:v>
                </c:pt>
                <c:pt idx="23">
                  <c:v>3.9540000000000002</c:v>
                </c:pt>
                <c:pt idx="24">
                  <c:v>3.9540000000000002</c:v>
                </c:pt>
                <c:pt idx="25">
                  <c:v>3.9540000000000002</c:v>
                </c:pt>
                <c:pt idx="26">
                  <c:v>3.9540000000000002</c:v>
                </c:pt>
                <c:pt idx="27">
                  <c:v>3.9540000000000002</c:v>
                </c:pt>
                <c:pt idx="28">
                  <c:v>3.9540000000000002</c:v>
                </c:pt>
                <c:pt idx="29">
                  <c:v>3.9540000000000002</c:v>
                </c:pt>
                <c:pt idx="30">
                  <c:v>3.9540000000000002</c:v>
                </c:pt>
                <c:pt idx="31">
                  <c:v>3.9540000000000002</c:v>
                </c:pt>
                <c:pt idx="32">
                  <c:v>3.9540000000000002</c:v>
                </c:pt>
                <c:pt idx="33">
                  <c:v>3.9540000000000002</c:v>
                </c:pt>
                <c:pt idx="34">
                  <c:v>3.9540000000000002</c:v>
                </c:pt>
                <c:pt idx="35">
                  <c:v>3.9540000000000002</c:v>
                </c:pt>
                <c:pt idx="36">
                  <c:v>3.9540000000000002</c:v>
                </c:pt>
                <c:pt idx="37">
                  <c:v>3.9540000000000002</c:v>
                </c:pt>
                <c:pt idx="38">
                  <c:v>3.9540000000000002</c:v>
                </c:pt>
                <c:pt idx="39">
                  <c:v>3.9540000000000002</c:v>
                </c:pt>
                <c:pt idx="40">
                  <c:v>3.9540000000000002</c:v>
                </c:pt>
                <c:pt idx="41">
                  <c:v>3.9540000000000002</c:v>
                </c:pt>
                <c:pt idx="42">
                  <c:v>3.9540000000000002</c:v>
                </c:pt>
                <c:pt idx="43">
                  <c:v>3.9540000000000002</c:v>
                </c:pt>
                <c:pt idx="44">
                  <c:v>3.9540000000000002</c:v>
                </c:pt>
                <c:pt idx="45">
                  <c:v>3.9540000000000002</c:v>
                </c:pt>
                <c:pt idx="46">
                  <c:v>3.9540000000000002</c:v>
                </c:pt>
                <c:pt idx="47">
                  <c:v>3.9540000000000002</c:v>
                </c:pt>
                <c:pt idx="48">
                  <c:v>3.9540000000000002</c:v>
                </c:pt>
                <c:pt idx="49">
                  <c:v>3.9540000000000002</c:v>
                </c:pt>
                <c:pt idx="50">
                  <c:v>3.9540000000000002</c:v>
                </c:pt>
                <c:pt idx="51">
                  <c:v>3.9540000000000002</c:v>
                </c:pt>
                <c:pt idx="52">
                  <c:v>3.9540000000000002</c:v>
                </c:pt>
                <c:pt idx="53">
                  <c:v>3.9820000000000002</c:v>
                </c:pt>
                <c:pt idx="54">
                  <c:v>3.9540000000000002</c:v>
                </c:pt>
                <c:pt idx="55">
                  <c:v>3.9820000000000002</c:v>
                </c:pt>
                <c:pt idx="56">
                  <c:v>3.9820000000000002</c:v>
                </c:pt>
                <c:pt idx="57">
                  <c:v>3.9820000000000002</c:v>
                </c:pt>
                <c:pt idx="58">
                  <c:v>3.9820000000000002</c:v>
                </c:pt>
                <c:pt idx="59">
                  <c:v>3.9820000000000002</c:v>
                </c:pt>
                <c:pt idx="60">
                  <c:v>3.9820000000000002</c:v>
                </c:pt>
                <c:pt idx="61">
                  <c:v>3.9820000000000002</c:v>
                </c:pt>
                <c:pt idx="62">
                  <c:v>3.9820000000000002</c:v>
                </c:pt>
                <c:pt idx="63">
                  <c:v>3.9820000000000002</c:v>
                </c:pt>
                <c:pt idx="64">
                  <c:v>3.9809999999999999</c:v>
                </c:pt>
                <c:pt idx="65">
                  <c:v>3.9529999999999998</c:v>
                </c:pt>
                <c:pt idx="66">
                  <c:v>3.9529999999999998</c:v>
                </c:pt>
                <c:pt idx="67">
                  <c:v>3.9529999999999998</c:v>
                </c:pt>
                <c:pt idx="68">
                  <c:v>3.9529999999999998</c:v>
                </c:pt>
                <c:pt idx="69">
                  <c:v>3.9529999999999998</c:v>
                </c:pt>
                <c:pt idx="70">
                  <c:v>3.9529999999999998</c:v>
                </c:pt>
                <c:pt idx="71">
                  <c:v>3.9529999999999998</c:v>
                </c:pt>
                <c:pt idx="72">
                  <c:v>3.9529999999999998</c:v>
                </c:pt>
                <c:pt idx="73">
                  <c:v>3.9529999999999998</c:v>
                </c:pt>
                <c:pt idx="74">
                  <c:v>3.9529999999999998</c:v>
                </c:pt>
                <c:pt idx="75">
                  <c:v>3.9529999999999998</c:v>
                </c:pt>
                <c:pt idx="76">
                  <c:v>3.9529999999999998</c:v>
                </c:pt>
                <c:pt idx="77">
                  <c:v>3.9529999999999998</c:v>
                </c:pt>
                <c:pt idx="78">
                  <c:v>3.9529999999999998</c:v>
                </c:pt>
                <c:pt idx="79">
                  <c:v>3.9529999999999998</c:v>
                </c:pt>
                <c:pt idx="80">
                  <c:v>3.9529999999999998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DA-452F-B024-20D2418B291D}"/>
            </c:ext>
          </c:extLst>
        </c:ser>
        <c:ser>
          <c:idx val="6"/>
          <c:order val="6"/>
          <c:tx>
            <c:strRef>
              <c:f>in!$P$14</c:f>
              <c:strCache>
                <c:ptCount val="1"/>
                <c:pt idx="0">
                  <c:v>CELL 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in!$P$15:$P$95</c:f>
              <c:numCache>
                <c:formatCode>0.000</c:formatCode>
                <c:ptCount val="81"/>
                <c:pt idx="0">
                  <c:v>3.8450000000000002</c:v>
                </c:pt>
                <c:pt idx="1">
                  <c:v>3.8450000000000002</c:v>
                </c:pt>
                <c:pt idx="2">
                  <c:v>3.8450000000000002</c:v>
                </c:pt>
                <c:pt idx="3">
                  <c:v>3.8410000000000002</c:v>
                </c:pt>
                <c:pt idx="4">
                  <c:v>3.8410000000000002</c:v>
                </c:pt>
                <c:pt idx="5">
                  <c:v>3.8410000000000002</c:v>
                </c:pt>
                <c:pt idx="6">
                  <c:v>3.8410000000000002</c:v>
                </c:pt>
                <c:pt idx="7">
                  <c:v>3.8410000000000002</c:v>
                </c:pt>
                <c:pt idx="8">
                  <c:v>3.8410000000000002</c:v>
                </c:pt>
                <c:pt idx="9">
                  <c:v>3.8410000000000002</c:v>
                </c:pt>
                <c:pt idx="10">
                  <c:v>3.8410000000000002</c:v>
                </c:pt>
                <c:pt idx="11">
                  <c:v>3.8410000000000002</c:v>
                </c:pt>
                <c:pt idx="12">
                  <c:v>3.8410000000000002</c:v>
                </c:pt>
                <c:pt idx="13">
                  <c:v>3.8410000000000002</c:v>
                </c:pt>
                <c:pt idx="14">
                  <c:v>3.8410000000000002</c:v>
                </c:pt>
                <c:pt idx="15">
                  <c:v>3.8410000000000002</c:v>
                </c:pt>
                <c:pt idx="16">
                  <c:v>3.8410000000000002</c:v>
                </c:pt>
                <c:pt idx="17">
                  <c:v>3.8410000000000002</c:v>
                </c:pt>
                <c:pt idx="18">
                  <c:v>3.8410000000000002</c:v>
                </c:pt>
                <c:pt idx="19">
                  <c:v>3.8410000000000002</c:v>
                </c:pt>
                <c:pt idx="20">
                  <c:v>3.8410000000000002</c:v>
                </c:pt>
                <c:pt idx="21">
                  <c:v>3.8410000000000002</c:v>
                </c:pt>
                <c:pt idx="22">
                  <c:v>3.8410000000000002</c:v>
                </c:pt>
                <c:pt idx="23">
                  <c:v>3.8410000000000002</c:v>
                </c:pt>
                <c:pt idx="24">
                  <c:v>3.8410000000000002</c:v>
                </c:pt>
                <c:pt idx="25">
                  <c:v>3.8410000000000002</c:v>
                </c:pt>
                <c:pt idx="26">
                  <c:v>3.8410000000000002</c:v>
                </c:pt>
                <c:pt idx="27">
                  <c:v>3.8410000000000002</c:v>
                </c:pt>
                <c:pt idx="28">
                  <c:v>3.8410000000000002</c:v>
                </c:pt>
                <c:pt idx="29">
                  <c:v>3.8410000000000002</c:v>
                </c:pt>
                <c:pt idx="30">
                  <c:v>3.8410000000000002</c:v>
                </c:pt>
                <c:pt idx="31">
                  <c:v>3.8410000000000002</c:v>
                </c:pt>
                <c:pt idx="32">
                  <c:v>3.8410000000000002</c:v>
                </c:pt>
                <c:pt idx="33">
                  <c:v>3.8410000000000002</c:v>
                </c:pt>
                <c:pt idx="34">
                  <c:v>3.8410000000000002</c:v>
                </c:pt>
                <c:pt idx="35">
                  <c:v>3.8410000000000002</c:v>
                </c:pt>
                <c:pt idx="36">
                  <c:v>3.8410000000000002</c:v>
                </c:pt>
                <c:pt idx="37">
                  <c:v>3.8410000000000002</c:v>
                </c:pt>
                <c:pt idx="38">
                  <c:v>3.8410000000000002</c:v>
                </c:pt>
                <c:pt idx="39">
                  <c:v>3.8410000000000002</c:v>
                </c:pt>
                <c:pt idx="40">
                  <c:v>3.8410000000000002</c:v>
                </c:pt>
                <c:pt idx="41">
                  <c:v>3.8410000000000002</c:v>
                </c:pt>
                <c:pt idx="42">
                  <c:v>3.8410000000000002</c:v>
                </c:pt>
                <c:pt idx="43">
                  <c:v>3.8410000000000002</c:v>
                </c:pt>
                <c:pt idx="44">
                  <c:v>3.8410000000000002</c:v>
                </c:pt>
                <c:pt idx="45">
                  <c:v>3.8410000000000002</c:v>
                </c:pt>
                <c:pt idx="46">
                  <c:v>3.8410000000000002</c:v>
                </c:pt>
                <c:pt idx="47">
                  <c:v>3.8410000000000002</c:v>
                </c:pt>
                <c:pt idx="48">
                  <c:v>3.8410000000000002</c:v>
                </c:pt>
                <c:pt idx="49">
                  <c:v>3.8410000000000002</c:v>
                </c:pt>
                <c:pt idx="50">
                  <c:v>3.8410000000000002</c:v>
                </c:pt>
                <c:pt idx="51">
                  <c:v>3.8410000000000002</c:v>
                </c:pt>
                <c:pt idx="52">
                  <c:v>3.8410000000000002</c:v>
                </c:pt>
                <c:pt idx="53">
                  <c:v>3.8450000000000002</c:v>
                </c:pt>
                <c:pt idx="54">
                  <c:v>3.8410000000000002</c:v>
                </c:pt>
                <c:pt idx="55">
                  <c:v>3.8130000000000002</c:v>
                </c:pt>
                <c:pt idx="56">
                  <c:v>3.8450000000000002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3.8130000000000002</c:v>
                </c:pt>
                <c:pt idx="61">
                  <c:v>3.8130000000000002</c:v>
                </c:pt>
                <c:pt idx="62">
                  <c:v>3.8450000000000002</c:v>
                </c:pt>
                <c:pt idx="63">
                  <c:v>3.8450000000000002</c:v>
                </c:pt>
                <c:pt idx="64">
                  <c:v>3.8410000000000002</c:v>
                </c:pt>
                <c:pt idx="65">
                  <c:v>3.8370000000000002</c:v>
                </c:pt>
                <c:pt idx="66">
                  <c:v>3.8370000000000002</c:v>
                </c:pt>
                <c:pt idx="67">
                  <c:v>3.8370000000000002</c:v>
                </c:pt>
                <c:pt idx="68">
                  <c:v>3.8370000000000002</c:v>
                </c:pt>
                <c:pt idx="69">
                  <c:v>3.8370000000000002</c:v>
                </c:pt>
                <c:pt idx="70">
                  <c:v>3.8370000000000002</c:v>
                </c:pt>
                <c:pt idx="71">
                  <c:v>3.8370000000000002</c:v>
                </c:pt>
                <c:pt idx="72">
                  <c:v>3.8370000000000002</c:v>
                </c:pt>
                <c:pt idx="73">
                  <c:v>3.8370000000000002</c:v>
                </c:pt>
                <c:pt idx="74">
                  <c:v>3.8370000000000002</c:v>
                </c:pt>
                <c:pt idx="75">
                  <c:v>3.8370000000000002</c:v>
                </c:pt>
                <c:pt idx="76">
                  <c:v>3.8370000000000002</c:v>
                </c:pt>
                <c:pt idx="77">
                  <c:v>3.8370000000000002</c:v>
                </c:pt>
                <c:pt idx="78">
                  <c:v>3.8370000000000002</c:v>
                </c:pt>
                <c:pt idx="79">
                  <c:v>3.8370000000000002</c:v>
                </c:pt>
                <c:pt idx="80">
                  <c:v>3.8370000000000002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DA-452F-B024-20D2418B291D}"/>
            </c:ext>
          </c:extLst>
        </c:ser>
        <c:ser>
          <c:idx val="7"/>
          <c:order val="7"/>
          <c:tx>
            <c:strRef>
              <c:f>in!$Q$14</c:f>
              <c:strCache>
                <c:ptCount val="1"/>
                <c:pt idx="0">
                  <c:v>CELL 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in!$Q$15:$Q$95</c:f>
              <c:numCache>
                <c:formatCode>0.000</c:formatCode>
                <c:ptCount val="81"/>
                <c:pt idx="0">
                  <c:v>3.8759999999999999</c:v>
                </c:pt>
                <c:pt idx="1">
                  <c:v>3.8759999999999999</c:v>
                </c:pt>
                <c:pt idx="2">
                  <c:v>3.8759999999999999</c:v>
                </c:pt>
                <c:pt idx="3">
                  <c:v>3.9079999999999999</c:v>
                </c:pt>
                <c:pt idx="4">
                  <c:v>3.9079999999999999</c:v>
                </c:pt>
                <c:pt idx="5">
                  <c:v>3.9079999999999999</c:v>
                </c:pt>
                <c:pt idx="6">
                  <c:v>3.9079999999999999</c:v>
                </c:pt>
                <c:pt idx="7">
                  <c:v>3.9079999999999999</c:v>
                </c:pt>
                <c:pt idx="8">
                  <c:v>3.9079999999999999</c:v>
                </c:pt>
                <c:pt idx="9">
                  <c:v>3.9079999999999999</c:v>
                </c:pt>
                <c:pt idx="10">
                  <c:v>3.9079999999999999</c:v>
                </c:pt>
                <c:pt idx="11">
                  <c:v>3.9079999999999999</c:v>
                </c:pt>
                <c:pt idx="12">
                  <c:v>3.9079999999999999</c:v>
                </c:pt>
                <c:pt idx="13">
                  <c:v>3.9079999999999999</c:v>
                </c:pt>
                <c:pt idx="14">
                  <c:v>3.9079999999999999</c:v>
                </c:pt>
                <c:pt idx="15">
                  <c:v>3.9079999999999999</c:v>
                </c:pt>
                <c:pt idx="16">
                  <c:v>3.9079999999999999</c:v>
                </c:pt>
                <c:pt idx="17">
                  <c:v>3.9079999999999999</c:v>
                </c:pt>
                <c:pt idx="18">
                  <c:v>3.9079999999999999</c:v>
                </c:pt>
                <c:pt idx="19">
                  <c:v>3.9079999999999999</c:v>
                </c:pt>
                <c:pt idx="20">
                  <c:v>3.9079999999999999</c:v>
                </c:pt>
                <c:pt idx="21">
                  <c:v>3.9079999999999999</c:v>
                </c:pt>
                <c:pt idx="22">
                  <c:v>3.9079999999999999</c:v>
                </c:pt>
                <c:pt idx="23">
                  <c:v>3.9079999999999999</c:v>
                </c:pt>
                <c:pt idx="24">
                  <c:v>3.9079999999999999</c:v>
                </c:pt>
                <c:pt idx="25">
                  <c:v>3.9079999999999999</c:v>
                </c:pt>
                <c:pt idx="26">
                  <c:v>3.9079999999999999</c:v>
                </c:pt>
                <c:pt idx="27">
                  <c:v>3.9079999999999999</c:v>
                </c:pt>
                <c:pt idx="28">
                  <c:v>3.9079999999999999</c:v>
                </c:pt>
                <c:pt idx="29">
                  <c:v>3.9079999999999999</c:v>
                </c:pt>
                <c:pt idx="30">
                  <c:v>3.9079999999999999</c:v>
                </c:pt>
                <c:pt idx="31">
                  <c:v>3.9079999999999999</c:v>
                </c:pt>
                <c:pt idx="32">
                  <c:v>3.9079999999999999</c:v>
                </c:pt>
                <c:pt idx="33">
                  <c:v>3.9079999999999999</c:v>
                </c:pt>
                <c:pt idx="34">
                  <c:v>3.9079999999999999</c:v>
                </c:pt>
                <c:pt idx="35">
                  <c:v>3.9079999999999999</c:v>
                </c:pt>
                <c:pt idx="36">
                  <c:v>3.9079999999999999</c:v>
                </c:pt>
                <c:pt idx="37">
                  <c:v>3.9079999999999999</c:v>
                </c:pt>
                <c:pt idx="38">
                  <c:v>3.9079999999999999</c:v>
                </c:pt>
                <c:pt idx="39">
                  <c:v>3.9079999999999999</c:v>
                </c:pt>
                <c:pt idx="40">
                  <c:v>3.9079999999999999</c:v>
                </c:pt>
                <c:pt idx="41">
                  <c:v>3.9079999999999999</c:v>
                </c:pt>
                <c:pt idx="42">
                  <c:v>3.9079999999999999</c:v>
                </c:pt>
                <c:pt idx="43">
                  <c:v>3.9079999999999999</c:v>
                </c:pt>
                <c:pt idx="44">
                  <c:v>3.9079999999999999</c:v>
                </c:pt>
                <c:pt idx="45">
                  <c:v>3.9079999999999999</c:v>
                </c:pt>
                <c:pt idx="46">
                  <c:v>3.9079999999999999</c:v>
                </c:pt>
                <c:pt idx="47">
                  <c:v>3.9079999999999999</c:v>
                </c:pt>
                <c:pt idx="48">
                  <c:v>3.9079999999999999</c:v>
                </c:pt>
                <c:pt idx="49">
                  <c:v>3.9079999999999999</c:v>
                </c:pt>
                <c:pt idx="50">
                  <c:v>3.9079999999999999</c:v>
                </c:pt>
                <c:pt idx="51">
                  <c:v>3.9079999999999999</c:v>
                </c:pt>
                <c:pt idx="52">
                  <c:v>3.9079999999999999</c:v>
                </c:pt>
                <c:pt idx="53">
                  <c:v>3.8759999999999999</c:v>
                </c:pt>
                <c:pt idx="54">
                  <c:v>3.9079999999999999</c:v>
                </c:pt>
                <c:pt idx="55">
                  <c:v>3.9079999999999999</c:v>
                </c:pt>
                <c:pt idx="56">
                  <c:v>3.8759999999999999</c:v>
                </c:pt>
                <c:pt idx="57">
                  <c:v>3.8759999999999999</c:v>
                </c:pt>
                <c:pt idx="58">
                  <c:v>3.8759999999999999</c:v>
                </c:pt>
                <c:pt idx="59">
                  <c:v>3.8759999999999999</c:v>
                </c:pt>
                <c:pt idx="60">
                  <c:v>3.9079999999999999</c:v>
                </c:pt>
                <c:pt idx="61">
                  <c:v>3.9079999999999999</c:v>
                </c:pt>
                <c:pt idx="62">
                  <c:v>3.8759999999999999</c:v>
                </c:pt>
                <c:pt idx="63">
                  <c:v>3.8759999999999999</c:v>
                </c:pt>
                <c:pt idx="64">
                  <c:v>3.8690000000000002</c:v>
                </c:pt>
                <c:pt idx="65">
                  <c:v>3.9020000000000001</c:v>
                </c:pt>
                <c:pt idx="66">
                  <c:v>3.9020000000000001</c:v>
                </c:pt>
                <c:pt idx="67">
                  <c:v>3.9020000000000001</c:v>
                </c:pt>
                <c:pt idx="68">
                  <c:v>3.9020000000000001</c:v>
                </c:pt>
                <c:pt idx="69">
                  <c:v>3.9020000000000001</c:v>
                </c:pt>
                <c:pt idx="70">
                  <c:v>3.9020000000000001</c:v>
                </c:pt>
                <c:pt idx="71">
                  <c:v>3.9020000000000001</c:v>
                </c:pt>
                <c:pt idx="72">
                  <c:v>3.9020000000000001</c:v>
                </c:pt>
                <c:pt idx="73">
                  <c:v>3.9020000000000001</c:v>
                </c:pt>
                <c:pt idx="74">
                  <c:v>3.9020000000000001</c:v>
                </c:pt>
                <c:pt idx="75">
                  <c:v>3.9020000000000001</c:v>
                </c:pt>
                <c:pt idx="76">
                  <c:v>3.9020000000000001</c:v>
                </c:pt>
                <c:pt idx="77">
                  <c:v>3.9020000000000001</c:v>
                </c:pt>
                <c:pt idx="78">
                  <c:v>3.9020000000000001</c:v>
                </c:pt>
                <c:pt idx="79">
                  <c:v>3.9020000000000001</c:v>
                </c:pt>
                <c:pt idx="80">
                  <c:v>3.9020000000000001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DA-452F-B024-20D2418B2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711231"/>
        <c:axId val="910717951"/>
      </c:lineChart>
      <c:catAx>
        <c:axId val="91071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17951"/>
        <c:crosses val="autoZero"/>
        <c:auto val="1"/>
        <c:lblAlgn val="ctr"/>
        <c:lblOffset val="100"/>
        <c:tickLblSkip val="4"/>
        <c:tickMarkSkip val="2"/>
        <c:noMultiLvlLbl val="0"/>
      </c:catAx>
      <c:valAx>
        <c:axId val="91071795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11231"/>
        <c:crossesAt val="1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645849831104931"/>
          <c:y val="0.25723405133302951"/>
          <c:w val="7.5097302222331561E-2"/>
          <c:h val="0.56823439026437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218024</xdr:colOff>
      <xdr:row>8</xdr:row>
      <xdr:rowOff>134617</xdr:rowOff>
    </xdr:from>
    <xdr:to>
      <xdr:col>35</xdr:col>
      <xdr:colOff>57149</xdr:colOff>
      <xdr:row>31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5F4FE4-998A-CF48-5655-BB10BB524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D7B6F-A100-4527-9D85-D34CCD8BF4EF}" name="Table1" displayName="Table1" ref="I4:S12" totalsRowShown="0" headerRowDxfId="2">
  <autoFilter ref="I4:S12" xr:uid="{237D7B6F-A100-4527-9D85-D34CCD8BF4EF}"/>
  <tableColumns count="11">
    <tableColumn id="1" xr3:uid="{1055D274-2E89-4899-9E96-63372307F4B7}" name="Column1" dataDxfId="1"/>
    <tableColumn id="2" xr3:uid="{CB7F508C-5873-47C5-A9A7-99C64E24C97D}" name="CELL 1"/>
    <tableColumn id="3" xr3:uid="{1272BAFE-9DAC-4A2B-937A-95E5F070A103}" name="CELL 2"/>
    <tableColumn id="4" xr3:uid="{9EDE07F5-1AB5-440F-B13E-3649AE5A6C72}" name="CELL 3"/>
    <tableColumn id="5" xr3:uid="{BBCECBE2-D976-45C8-B1AB-03219E2E9F2D}" name="CELL 4"/>
    <tableColumn id="6" xr3:uid="{B880C742-1015-44BC-A3A8-E04985FFE147}" name="CELL 5"/>
    <tableColumn id="7" xr3:uid="{38AB83EC-B2BB-490D-B799-7BC2B877F90F}" name="CELL 6"/>
    <tableColumn id="8" xr3:uid="{D1CA7C25-316F-4BCC-988A-40750225430D}" name="CELL 7"/>
    <tableColumn id="9" xr3:uid="{D8D5DB53-6910-433D-8E44-9953EBF42BFF}" name="CELL 8"/>
    <tableColumn id="10" xr3:uid="{43971582-9950-4DA5-8AAE-C4BCF3C27901}" name="TOTAL VOLTAGE"/>
    <tableColumn id="11" xr3:uid="{ADD78646-1590-44C2-A46B-D84050D688F1}" name="WORST " dataDxfId="0">
      <calculatedColumnFormula array="1">MAX(ABS(Table1[[#This Row],[CELL 1]:[TOTAL VOLTAGE]]))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1890-0FF9-4970-AD24-4C3D1F6F0B0E}">
  <dimension ref="G4:T97"/>
  <sheetViews>
    <sheetView tabSelected="1" topLeftCell="E1" zoomScale="70" zoomScaleNormal="70" workbookViewId="0">
      <selection activeCell="AG6" sqref="AG6"/>
    </sheetView>
  </sheetViews>
  <sheetFormatPr defaultRowHeight="15" x14ac:dyDescent="0.25"/>
  <cols>
    <col min="1" max="6" width="9.140625" style="1"/>
    <col min="7" max="7" width="8.28515625" style="1" bestFit="1" customWidth="1"/>
    <col min="8" max="8" width="14.42578125" style="1" bestFit="1" customWidth="1"/>
    <col min="9" max="9" width="12.28515625" style="1" bestFit="1" customWidth="1"/>
    <col min="10" max="17" width="9.140625" style="1"/>
    <col min="18" max="18" width="17.28515625" style="1" customWidth="1"/>
    <col min="19" max="16384" width="9.140625" style="1"/>
  </cols>
  <sheetData>
    <row r="4" spans="7:20" x14ac:dyDescent="0.25">
      <c r="I4" s="1" t="s">
        <v>21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22</v>
      </c>
    </row>
    <row r="5" spans="7:20" x14ac:dyDescent="0.25">
      <c r="I5" s="1" t="s">
        <v>0</v>
      </c>
      <c r="J5" s="1">
        <v>3.9910000000000001</v>
      </c>
      <c r="K5" s="1">
        <v>3.972</v>
      </c>
      <c r="L5" s="1">
        <v>3.9329999999999998</v>
      </c>
      <c r="M5" s="1">
        <v>3.831</v>
      </c>
      <c r="N5" s="1">
        <v>4.0190000000000001</v>
      </c>
      <c r="O5" s="1">
        <v>3.8650000000000002</v>
      </c>
      <c r="P5" s="1">
        <v>3.8359999999999999</v>
      </c>
      <c r="Q5" s="1">
        <v>3.802</v>
      </c>
      <c r="R5" s="1">
        <f>SUM(J5:Q5)</f>
        <v>31.249000000000002</v>
      </c>
    </row>
    <row r="6" spans="7:20" x14ac:dyDescent="0.25">
      <c r="I6" s="1" t="s">
        <v>1</v>
      </c>
      <c r="J6" s="2">
        <f t="shared" ref="J6:R6" si="0">MAX(J15:J97)</f>
        <v>3.964</v>
      </c>
      <c r="K6" s="2">
        <f t="shared" si="0"/>
        <v>3.9740000000000002</v>
      </c>
      <c r="L6" s="2">
        <f t="shared" si="0"/>
        <v>3.8940000000000001</v>
      </c>
      <c r="M6" s="2">
        <f t="shared" si="0"/>
        <v>3.8330000000000002</v>
      </c>
      <c r="N6" s="2">
        <f t="shared" si="0"/>
        <v>4.0949999999999998</v>
      </c>
      <c r="O6" s="2">
        <f t="shared" si="0"/>
        <v>3.9820000000000002</v>
      </c>
      <c r="P6" s="2">
        <f t="shared" si="0"/>
        <v>3.8450000000000002</v>
      </c>
      <c r="Q6" s="2">
        <f t="shared" si="0"/>
        <v>3.9079999999999999</v>
      </c>
      <c r="R6" s="2">
        <f t="shared" si="0"/>
        <v>31.420999999999999</v>
      </c>
    </row>
    <row r="7" spans="7:20" x14ac:dyDescent="0.25">
      <c r="I7" s="1" t="s">
        <v>2</v>
      </c>
      <c r="J7" s="2">
        <f t="shared" ref="J7:R7" si="1">MIN(J15:J97)</f>
        <v>3.9540000000000002</v>
      </c>
      <c r="K7" s="2">
        <f t="shared" si="1"/>
        <v>3.9609999999999999</v>
      </c>
      <c r="L7" s="2">
        <f t="shared" si="1"/>
        <v>3.8740000000000001</v>
      </c>
      <c r="M7" s="2">
        <f t="shared" si="1"/>
        <v>3.794</v>
      </c>
      <c r="N7" s="2">
        <f t="shared" si="1"/>
        <v>4.0579999999999998</v>
      </c>
      <c r="O7" s="2">
        <f t="shared" si="1"/>
        <v>3.9529999999999998</v>
      </c>
      <c r="P7" s="2">
        <f t="shared" si="1"/>
        <v>3.8130000000000002</v>
      </c>
      <c r="Q7" s="2">
        <f t="shared" si="1"/>
        <v>3.8690000000000002</v>
      </c>
      <c r="R7" s="2">
        <f t="shared" si="1"/>
        <v>31.364000000000001</v>
      </c>
    </row>
    <row r="8" spans="7:20" x14ac:dyDescent="0.25">
      <c r="I8" s="1" t="s">
        <v>3</v>
      </c>
      <c r="J8" s="2">
        <f>MIN(J15:J98)</f>
        <v>3.9540000000000002</v>
      </c>
      <c r="K8" s="2">
        <f t="shared" ref="K8:R8" si="2">AVERAGE(K15:K97)</f>
        <v>3.968851851851853</v>
      </c>
      <c r="L8" s="2">
        <f t="shared" si="2"/>
        <v>3.8858518518518501</v>
      </c>
      <c r="M8" s="2">
        <f t="shared" si="2"/>
        <v>3.8061481481481447</v>
      </c>
      <c r="N8" s="2">
        <f t="shared" si="2"/>
        <v>4.081234567901241</v>
      </c>
      <c r="O8" s="2">
        <f t="shared" si="2"/>
        <v>3.9582962962962922</v>
      </c>
      <c r="P8" s="2">
        <f t="shared" si="2"/>
        <v>3.8396666666666648</v>
      </c>
      <c r="Q8" s="2">
        <f t="shared" si="2"/>
        <v>3.9023827160493774</v>
      </c>
      <c r="R8" s="2">
        <f t="shared" si="2"/>
        <v>31.402358024691338</v>
      </c>
    </row>
    <row r="9" spans="7:20" x14ac:dyDescent="0.25">
      <c r="I9" s="1" t="s">
        <v>15</v>
      </c>
      <c r="J9" s="2">
        <f t="shared" ref="J9:R9" si="3">J8-J5</f>
        <v>-3.6999999999999922E-2</v>
      </c>
      <c r="K9" s="2">
        <f t="shared" si="3"/>
        <v>-3.1481481481470119E-3</v>
      </c>
      <c r="L9" s="2">
        <f t="shared" si="3"/>
        <v>-4.7148148148149716E-2</v>
      </c>
      <c r="M9" s="2">
        <f t="shared" si="3"/>
        <v>-2.4851851851855233E-2</v>
      </c>
      <c r="N9" s="2">
        <f t="shared" si="3"/>
        <v>6.2234567901240823E-2</v>
      </c>
      <c r="O9" s="2">
        <f t="shared" si="3"/>
        <v>9.3296296296291992E-2</v>
      </c>
      <c r="P9" s="2">
        <f t="shared" si="3"/>
        <v>3.6666666666649306E-3</v>
      </c>
      <c r="Q9" s="2">
        <f t="shared" si="3"/>
        <v>0.10038271604937732</v>
      </c>
      <c r="R9" s="2">
        <f t="shared" si="3"/>
        <v>0.15335802469133597</v>
      </c>
      <c r="S9" s="2" cm="1">
        <f t="array" ref="S9">MAX(ABS(Table1[[#This Row],[CELL 1]:[CELL 8]]))</f>
        <v>0.10038271604937732</v>
      </c>
    </row>
    <row r="10" spans="7:20" x14ac:dyDescent="0.25">
      <c r="I10" s="5" t="s">
        <v>18</v>
      </c>
      <c r="J10" s="4">
        <f t="shared" ref="J10:R10" si="4">ABS(J9/J5)</f>
        <v>9.2708594337258636E-3</v>
      </c>
      <c r="K10" s="4">
        <f t="shared" si="4"/>
        <v>7.9258513296752572E-4</v>
      </c>
      <c r="L10" s="4">
        <f t="shared" si="4"/>
        <v>1.198783324387229E-2</v>
      </c>
      <c r="M10" s="4">
        <f t="shared" si="4"/>
        <v>6.4870404207400768E-3</v>
      </c>
      <c r="N10" s="4">
        <f t="shared" si="4"/>
        <v>1.5485087808221155E-2</v>
      </c>
      <c r="O10" s="4">
        <f t="shared" si="4"/>
        <v>2.4138757127113063E-2</v>
      </c>
      <c r="P10" s="4">
        <f t="shared" si="4"/>
        <v>9.5585679527240115E-4</v>
      </c>
      <c r="Q10" s="4">
        <f t="shared" si="4"/>
        <v>2.6402608113986668E-2</v>
      </c>
      <c r="R10" s="4">
        <f t="shared" si="4"/>
        <v>4.9076138337654316E-3</v>
      </c>
      <c r="S10" s="4" cm="1">
        <f t="array" ref="S10">MAX(ABS(Table1[[#This Row],[CELL 1]:[CELL 8]]))</f>
        <v>2.6402608113986668E-2</v>
      </c>
    </row>
    <row r="11" spans="7:20" x14ac:dyDescent="0.25">
      <c r="I11" s="1" t="s">
        <v>17</v>
      </c>
      <c r="J11" s="1">
        <f t="shared" ref="J11:R11" si="5">MAX(ABS(J7-J5),ABS(J6-J5))</f>
        <v>3.6999999999999922E-2</v>
      </c>
      <c r="K11" s="1">
        <f t="shared" si="5"/>
        <v>1.1000000000000121E-2</v>
      </c>
      <c r="L11" s="1">
        <f t="shared" si="5"/>
        <v>5.8999999999999719E-2</v>
      </c>
      <c r="M11" s="1">
        <f t="shared" si="5"/>
        <v>3.6999999999999922E-2</v>
      </c>
      <c r="N11" s="1">
        <f t="shared" si="5"/>
        <v>7.5999999999999623E-2</v>
      </c>
      <c r="O11" s="1">
        <f t="shared" si="5"/>
        <v>0.11699999999999999</v>
      </c>
      <c r="P11" s="1">
        <f t="shared" si="5"/>
        <v>2.2999999999999687E-2</v>
      </c>
      <c r="Q11" s="1">
        <f t="shared" si="5"/>
        <v>0.10599999999999987</v>
      </c>
      <c r="R11" s="1">
        <f t="shared" si="5"/>
        <v>0.17199999999999704</v>
      </c>
      <c r="S11" s="2" cm="1">
        <f t="array" ref="S11">MAX(ABS(Table1[[#This Row],[CELL 1]:[CELL 8]]))</f>
        <v>0.11699999999999999</v>
      </c>
    </row>
    <row r="12" spans="7:20" x14ac:dyDescent="0.25">
      <c r="I12" s="5" t="s">
        <v>18</v>
      </c>
      <c r="J12" s="4">
        <f t="shared" ref="J12:R12" si="6">J11/J5</f>
        <v>9.2708594337258636E-3</v>
      </c>
      <c r="K12" s="4">
        <f t="shared" si="6"/>
        <v>2.7693856998993256E-3</v>
      </c>
      <c r="L12" s="4">
        <f t="shared" si="6"/>
        <v>1.5001271294177401E-2</v>
      </c>
      <c r="M12" s="4">
        <f t="shared" si="6"/>
        <v>9.6580527277473037E-3</v>
      </c>
      <c r="N12" s="4">
        <f t="shared" si="6"/>
        <v>1.8910176660860815E-2</v>
      </c>
      <c r="O12" s="4">
        <f t="shared" si="6"/>
        <v>3.0271668822768431E-2</v>
      </c>
      <c r="P12" s="4">
        <f t="shared" si="6"/>
        <v>5.9958289885296374E-3</v>
      </c>
      <c r="Q12" s="4">
        <f t="shared" si="6"/>
        <v>2.788006312467119E-2</v>
      </c>
      <c r="R12" s="4">
        <f t="shared" si="6"/>
        <v>5.5041761336361815E-3</v>
      </c>
      <c r="S12" s="4" cm="1">
        <f t="array" ref="S12">MAX(ABS(Table1[[#This Row],[CELL 1]:[CELL 8]]))</f>
        <v>3.0271668822768431E-2</v>
      </c>
    </row>
    <row r="13" spans="7:20" x14ac:dyDescent="0.25">
      <c r="S13" s="3">
        <f>AVERAGE(S15:S97)</f>
        <v>22.499999999999982</v>
      </c>
    </row>
    <row r="14" spans="7:20" x14ac:dyDescent="0.25">
      <c r="G14" s="6" t="s">
        <v>19</v>
      </c>
      <c r="H14" s="12" t="s">
        <v>16</v>
      </c>
      <c r="I14" s="7" t="s">
        <v>20</v>
      </c>
      <c r="J14" s="10" t="s">
        <v>4</v>
      </c>
      <c r="K14" s="7" t="s">
        <v>5</v>
      </c>
      <c r="L14" s="10" t="s">
        <v>6</v>
      </c>
      <c r="M14" s="7" t="s">
        <v>7</v>
      </c>
      <c r="N14" s="10" t="s">
        <v>8</v>
      </c>
      <c r="O14" s="7" t="s">
        <v>9</v>
      </c>
      <c r="P14" s="10" t="s">
        <v>10</v>
      </c>
      <c r="Q14" s="7" t="s">
        <v>11</v>
      </c>
      <c r="R14" s="10" t="s">
        <v>12</v>
      </c>
      <c r="S14" s="7" t="s">
        <v>13</v>
      </c>
      <c r="T14" s="10" t="s">
        <v>14</v>
      </c>
    </row>
    <row r="15" spans="7:20" x14ac:dyDescent="0.25">
      <c r="G15" s="6">
        <v>12537</v>
      </c>
      <c r="H15" s="12">
        <v>1</v>
      </c>
      <c r="I15" s="7">
        <f>FLOOR((G15/1000)-12, 1)</f>
        <v>0</v>
      </c>
      <c r="J15" s="11">
        <v>3.964</v>
      </c>
      <c r="K15" s="8">
        <v>3.9740000000000002</v>
      </c>
      <c r="L15" s="11">
        <v>3.8940000000000001</v>
      </c>
      <c r="M15" s="8">
        <v>3.819</v>
      </c>
      <c r="N15" s="11">
        <v>4.0670000000000002</v>
      </c>
      <c r="O15" s="8">
        <v>3.9820000000000002</v>
      </c>
      <c r="P15" s="11">
        <v>3.8450000000000002</v>
      </c>
      <c r="Q15" s="8">
        <v>3.8759999999999999</v>
      </c>
      <c r="R15" s="11">
        <v>31.420999999999999</v>
      </c>
      <c r="S15" s="9">
        <v>22.4</v>
      </c>
      <c r="T15" s="11">
        <v>-2.5999999999999999E-2</v>
      </c>
    </row>
    <row r="16" spans="7:20" x14ac:dyDescent="0.25">
      <c r="G16" s="6">
        <v>17543</v>
      </c>
      <c r="H16" s="12">
        <v>2</v>
      </c>
      <c r="I16" s="7">
        <f t="shared" ref="I16:I55" si="7">FLOOR((G16/1000)-12, 1)</f>
        <v>5</v>
      </c>
      <c r="J16" s="11">
        <v>3.964</v>
      </c>
      <c r="K16" s="8">
        <v>3.9740000000000002</v>
      </c>
      <c r="L16" s="11">
        <v>3.8940000000000001</v>
      </c>
      <c r="M16" s="8">
        <v>3.8010000000000002</v>
      </c>
      <c r="N16" s="11">
        <v>4.0670000000000002</v>
      </c>
      <c r="O16" s="8">
        <v>3.9820000000000002</v>
      </c>
      <c r="P16" s="11">
        <v>3.8450000000000002</v>
      </c>
      <c r="Q16" s="8">
        <v>3.8759999999999999</v>
      </c>
      <c r="R16" s="11">
        <v>31.402999999999999</v>
      </c>
      <c r="S16" s="9">
        <v>22.4</v>
      </c>
      <c r="T16" s="11">
        <v>-2.8000000000000001E-2</v>
      </c>
    </row>
    <row r="17" spans="7:20" x14ac:dyDescent="0.25">
      <c r="G17" s="6">
        <v>22545</v>
      </c>
      <c r="H17" s="12">
        <v>3</v>
      </c>
      <c r="I17" s="7">
        <f t="shared" si="7"/>
        <v>10</v>
      </c>
      <c r="J17" s="11">
        <v>3.964</v>
      </c>
      <c r="K17" s="8">
        <v>3.9740000000000002</v>
      </c>
      <c r="L17" s="11">
        <v>3.88</v>
      </c>
      <c r="M17" s="8">
        <v>3.8149999999999999</v>
      </c>
      <c r="N17" s="11">
        <v>4.0949999999999998</v>
      </c>
      <c r="O17" s="8">
        <v>3.9550000000000001</v>
      </c>
      <c r="P17" s="11">
        <v>3.8450000000000002</v>
      </c>
      <c r="Q17" s="8">
        <v>3.8759999999999999</v>
      </c>
      <c r="R17" s="11">
        <v>31.404</v>
      </c>
      <c r="S17" s="9">
        <v>22.4</v>
      </c>
      <c r="T17" s="11">
        <v>-2.9000000000000001E-2</v>
      </c>
    </row>
    <row r="18" spans="7:20" x14ac:dyDescent="0.25">
      <c r="G18" s="6">
        <v>27548</v>
      </c>
      <c r="H18" s="12">
        <v>4</v>
      </c>
      <c r="I18" s="7">
        <f t="shared" si="7"/>
        <v>15</v>
      </c>
      <c r="J18" s="11">
        <v>3.9590000000000001</v>
      </c>
      <c r="K18" s="8">
        <v>3.97</v>
      </c>
      <c r="L18" s="11">
        <v>3.8740000000000001</v>
      </c>
      <c r="M18" s="8">
        <v>3.8119999999999998</v>
      </c>
      <c r="N18" s="11">
        <v>4.085</v>
      </c>
      <c r="O18" s="8">
        <v>3.9540000000000002</v>
      </c>
      <c r="P18" s="11">
        <v>3.8410000000000002</v>
      </c>
      <c r="Q18" s="8">
        <v>3.9079999999999999</v>
      </c>
      <c r="R18" s="11">
        <v>31.402999999999999</v>
      </c>
      <c r="S18" s="9">
        <v>22.5</v>
      </c>
      <c r="T18" s="11">
        <v>-2.4E-2</v>
      </c>
    </row>
    <row r="19" spans="7:20" x14ac:dyDescent="0.25">
      <c r="G19" s="6">
        <v>32553</v>
      </c>
      <c r="H19" s="12">
        <v>5</v>
      </c>
      <c r="I19" s="7">
        <f t="shared" si="7"/>
        <v>20</v>
      </c>
      <c r="J19" s="11">
        <v>3.9590000000000001</v>
      </c>
      <c r="K19" s="8">
        <v>3.97</v>
      </c>
      <c r="L19" s="11">
        <v>3.8740000000000001</v>
      </c>
      <c r="M19" s="8">
        <v>3.8119999999999998</v>
      </c>
      <c r="N19" s="11">
        <v>4.085</v>
      </c>
      <c r="O19" s="8">
        <v>3.9540000000000002</v>
      </c>
      <c r="P19" s="11">
        <v>3.8410000000000002</v>
      </c>
      <c r="Q19" s="8">
        <v>3.9079999999999999</v>
      </c>
      <c r="R19" s="11">
        <v>31.402999999999999</v>
      </c>
      <c r="S19" s="9">
        <v>22.4</v>
      </c>
      <c r="T19" s="11">
        <v>-2.5000000000000001E-2</v>
      </c>
    </row>
    <row r="20" spans="7:20" x14ac:dyDescent="0.25">
      <c r="G20" s="6">
        <v>37595</v>
      </c>
      <c r="H20" s="12">
        <v>6</v>
      </c>
      <c r="I20" s="7">
        <f t="shared" si="7"/>
        <v>25</v>
      </c>
      <c r="J20" s="11">
        <v>3.9590000000000001</v>
      </c>
      <c r="K20" s="8">
        <v>3.97</v>
      </c>
      <c r="L20" s="11">
        <v>3.8740000000000001</v>
      </c>
      <c r="M20" s="8">
        <v>3.8119999999999998</v>
      </c>
      <c r="N20" s="11">
        <v>4.085</v>
      </c>
      <c r="O20" s="8">
        <v>3.9540000000000002</v>
      </c>
      <c r="P20" s="11">
        <v>3.8410000000000002</v>
      </c>
      <c r="Q20" s="8">
        <v>3.9079999999999999</v>
      </c>
      <c r="R20" s="11">
        <v>31.402999999999999</v>
      </c>
      <c r="S20" s="9">
        <v>22.4</v>
      </c>
      <c r="T20" s="11">
        <v>-2.8000000000000001E-2</v>
      </c>
    </row>
    <row r="21" spans="7:20" x14ac:dyDescent="0.25">
      <c r="G21" s="6">
        <v>42607</v>
      </c>
      <c r="H21" s="12">
        <v>7</v>
      </c>
      <c r="I21" s="7">
        <f t="shared" si="7"/>
        <v>30</v>
      </c>
      <c r="J21" s="11">
        <v>3.964</v>
      </c>
      <c r="K21" s="8">
        <v>3.9740000000000002</v>
      </c>
      <c r="L21" s="11">
        <v>3.8940000000000001</v>
      </c>
      <c r="M21" s="8">
        <v>3.8010000000000002</v>
      </c>
      <c r="N21" s="11">
        <v>4.085</v>
      </c>
      <c r="O21" s="8">
        <v>3.9540000000000002</v>
      </c>
      <c r="P21" s="11">
        <v>3.8410000000000002</v>
      </c>
      <c r="Q21" s="8">
        <v>3.9079999999999999</v>
      </c>
      <c r="R21" s="11">
        <v>31.420999999999999</v>
      </c>
      <c r="S21" s="9">
        <v>22.5</v>
      </c>
      <c r="T21" s="11">
        <v>-3.6999999999999998E-2</v>
      </c>
    </row>
    <row r="22" spans="7:20" x14ac:dyDescent="0.25">
      <c r="G22" s="6">
        <v>47609</v>
      </c>
      <c r="H22" s="12">
        <v>8</v>
      </c>
      <c r="I22" s="7">
        <f t="shared" si="7"/>
        <v>35</v>
      </c>
      <c r="J22" s="11">
        <v>3.9590000000000001</v>
      </c>
      <c r="K22" s="8">
        <v>3.97</v>
      </c>
      <c r="L22" s="11">
        <v>3.8889999999999998</v>
      </c>
      <c r="M22" s="8">
        <v>3.7970000000000002</v>
      </c>
      <c r="N22" s="11">
        <v>4.085</v>
      </c>
      <c r="O22" s="8">
        <v>3.9540000000000002</v>
      </c>
      <c r="P22" s="11">
        <v>3.8410000000000002</v>
      </c>
      <c r="Q22" s="8">
        <v>3.9079999999999999</v>
      </c>
      <c r="R22" s="11">
        <v>31.402999999999999</v>
      </c>
      <c r="S22" s="9">
        <v>22.4</v>
      </c>
      <c r="T22" s="11">
        <v>-3.3000000000000002E-2</v>
      </c>
    </row>
    <row r="23" spans="7:20" x14ac:dyDescent="0.25">
      <c r="G23" s="6">
        <v>52615</v>
      </c>
      <c r="H23" s="12">
        <v>9</v>
      </c>
      <c r="I23" s="7">
        <f t="shared" si="7"/>
        <v>40</v>
      </c>
      <c r="J23" s="11">
        <v>3.964</v>
      </c>
      <c r="K23" s="8">
        <v>3.9649999999999999</v>
      </c>
      <c r="L23" s="11">
        <v>3.8889999999999998</v>
      </c>
      <c r="M23" s="8">
        <v>3.8149999999999999</v>
      </c>
      <c r="N23" s="11">
        <v>4.085</v>
      </c>
      <c r="O23" s="8">
        <v>3.9540000000000002</v>
      </c>
      <c r="P23" s="11">
        <v>3.8410000000000002</v>
      </c>
      <c r="Q23" s="8">
        <v>3.9079999999999999</v>
      </c>
      <c r="R23" s="11">
        <v>31.420999999999999</v>
      </c>
      <c r="S23" s="9">
        <v>22.5</v>
      </c>
      <c r="T23" s="11">
        <v>-4.3999999999999997E-2</v>
      </c>
    </row>
    <row r="24" spans="7:20" x14ac:dyDescent="0.25">
      <c r="G24" s="6">
        <v>57622</v>
      </c>
      <c r="H24" s="12">
        <v>10</v>
      </c>
      <c r="I24" s="7">
        <f t="shared" si="7"/>
        <v>45</v>
      </c>
      <c r="J24" s="11">
        <v>3.9590000000000001</v>
      </c>
      <c r="K24" s="8">
        <v>3.97</v>
      </c>
      <c r="L24" s="11">
        <v>3.8889999999999998</v>
      </c>
      <c r="M24" s="8">
        <v>3.7970000000000002</v>
      </c>
      <c r="N24" s="11">
        <v>4.085</v>
      </c>
      <c r="O24" s="8">
        <v>3.9540000000000002</v>
      </c>
      <c r="P24" s="11">
        <v>3.8410000000000002</v>
      </c>
      <c r="Q24" s="8">
        <v>3.9079999999999999</v>
      </c>
      <c r="R24" s="11">
        <v>31.402999999999999</v>
      </c>
      <c r="S24" s="9">
        <v>22.4</v>
      </c>
      <c r="T24" s="11">
        <v>-2.1000000000000001E-2</v>
      </c>
    </row>
    <row r="25" spans="7:20" x14ac:dyDescent="0.25">
      <c r="G25" s="6">
        <v>62623</v>
      </c>
      <c r="H25" s="12">
        <v>11</v>
      </c>
      <c r="I25" s="7">
        <f t="shared" si="7"/>
        <v>50</v>
      </c>
      <c r="J25" s="11">
        <v>3.9590000000000001</v>
      </c>
      <c r="K25" s="8">
        <v>3.97</v>
      </c>
      <c r="L25" s="11">
        <v>3.8889999999999998</v>
      </c>
      <c r="M25" s="8">
        <v>3.7970000000000002</v>
      </c>
      <c r="N25" s="11">
        <v>4.085</v>
      </c>
      <c r="O25" s="8">
        <v>3.9540000000000002</v>
      </c>
      <c r="P25" s="11">
        <v>3.8410000000000002</v>
      </c>
      <c r="Q25" s="8">
        <v>3.9079999999999999</v>
      </c>
      <c r="R25" s="11">
        <v>31.402999999999999</v>
      </c>
      <c r="S25" s="9">
        <v>22.5</v>
      </c>
      <c r="T25" s="11">
        <v>-3.7999999999999999E-2</v>
      </c>
    </row>
    <row r="26" spans="7:20" x14ac:dyDescent="0.25">
      <c r="G26" s="6">
        <v>67660</v>
      </c>
      <c r="H26" s="12">
        <v>12</v>
      </c>
      <c r="I26" s="7">
        <f t="shared" si="7"/>
        <v>55</v>
      </c>
      <c r="J26" s="11">
        <v>3.9590000000000001</v>
      </c>
      <c r="K26" s="8">
        <v>3.97</v>
      </c>
      <c r="L26" s="11">
        <v>3.8889999999999998</v>
      </c>
      <c r="M26" s="8">
        <v>3.7970000000000002</v>
      </c>
      <c r="N26" s="11">
        <v>4.085</v>
      </c>
      <c r="O26" s="8">
        <v>3.9540000000000002</v>
      </c>
      <c r="P26" s="11">
        <v>3.8410000000000002</v>
      </c>
      <c r="Q26" s="8">
        <v>3.9079999999999999</v>
      </c>
      <c r="R26" s="11">
        <v>31.402999999999999</v>
      </c>
      <c r="S26" s="9">
        <v>22.4</v>
      </c>
      <c r="T26" s="11">
        <v>-3.2000000000000001E-2</v>
      </c>
    </row>
    <row r="27" spans="7:20" x14ac:dyDescent="0.25">
      <c r="G27" s="6">
        <v>72661</v>
      </c>
      <c r="H27" s="12">
        <v>13</v>
      </c>
      <c r="I27" s="7">
        <f t="shared" si="7"/>
        <v>60</v>
      </c>
      <c r="J27" s="11">
        <v>3.9590000000000001</v>
      </c>
      <c r="K27" s="8">
        <v>3.97</v>
      </c>
      <c r="L27" s="11">
        <v>3.8740000000000001</v>
      </c>
      <c r="M27" s="8">
        <v>3.8119999999999998</v>
      </c>
      <c r="N27" s="11">
        <v>4.085</v>
      </c>
      <c r="O27" s="8">
        <v>3.9540000000000002</v>
      </c>
      <c r="P27" s="11">
        <v>3.8410000000000002</v>
      </c>
      <c r="Q27" s="8">
        <v>3.9079999999999999</v>
      </c>
      <c r="R27" s="11">
        <v>31.402999999999999</v>
      </c>
      <c r="S27" s="9">
        <v>22.5</v>
      </c>
      <c r="T27" s="11">
        <v>-2.4E-2</v>
      </c>
    </row>
    <row r="28" spans="7:20" x14ac:dyDescent="0.25">
      <c r="G28" s="6">
        <v>77665</v>
      </c>
      <c r="H28" s="12">
        <v>14</v>
      </c>
      <c r="I28" s="7">
        <f t="shared" si="7"/>
        <v>65</v>
      </c>
      <c r="J28" s="11">
        <v>3.9590000000000001</v>
      </c>
      <c r="K28" s="8">
        <v>3.97</v>
      </c>
      <c r="L28" s="11">
        <v>3.8889999999999998</v>
      </c>
      <c r="M28" s="8">
        <v>3.7970000000000002</v>
      </c>
      <c r="N28" s="11">
        <v>4.085</v>
      </c>
      <c r="O28" s="8">
        <v>3.9540000000000002</v>
      </c>
      <c r="P28" s="11">
        <v>3.8410000000000002</v>
      </c>
      <c r="Q28" s="8">
        <v>3.9079999999999999</v>
      </c>
      <c r="R28" s="11">
        <v>31.402999999999999</v>
      </c>
      <c r="S28" s="9">
        <v>22.5</v>
      </c>
      <c r="T28" s="11">
        <v>-4.7E-2</v>
      </c>
    </row>
    <row r="29" spans="7:20" x14ac:dyDescent="0.25">
      <c r="G29" s="6">
        <v>82670</v>
      </c>
      <c r="H29" s="12">
        <v>15</v>
      </c>
      <c r="I29" s="7">
        <f t="shared" si="7"/>
        <v>70</v>
      </c>
      <c r="J29" s="11">
        <v>3.9590000000000001</v>
      </c>
      <c r="K29" s="8">
        <v>3.97</v>
      </c>
      <c r="L29" s="11">
        <v>3.8889999999999998</v>
      </c>
      <c r="M29" s="8">
        <v>3.7970000000000002</v>
      </c>
      <c r="N29" s="11">
        <v>4.085</v>
      </c>
      <c r="O29" s="8">
        <v>3.9540000000000002</v>
      </c>
      <c r="P29" s="11">
        <v>3.8410000000000002</v>
      </c>
      <c r="Q29" s="8">
        <v>3.9079999999999999</v>
      </c>
      <c r="R29" s="11">
        <v>31.402999999999999</v>
      </c>
      <c r="S29" s="9">
        <v>22.4</v>
      </c>
      <c r="T29" s="11">
        <v>-5.3999999999999999E-2</v>
      </c>
    </row>
    <row r="30" spans="7:20" x14ac:dyDescent="0.25">
      <c r="G30" s="6">
        <v>87678</v>
      </c>
      <c r="H30" s="12">
        <v>16</v>
      </c>
      <c r="I30" s="7">
        <f t="shared" si="7"/>
        <v>75</v>
      </c>
      <c r="J30" s="11">
        <v>3.9590000000000001</v>
      </c>
      <c r="K30" s="8">
        <v>3.97</v>
      </c>
      <c r="L30" s="11">
        <v>3.8889999999999998</v>
      </c>
      <c r="M30" s="8">
        <v>3.7970000000000002</v>
      </c>
      <c r="N30" s="11">
        <v>4.085</v>
      </c>
      <c r="O30" s="8">
        <v>3.9540000000000002</v>
      </c>
      <c r="P30" s="11">
        <v>3.8410000000000002</v>
      </c>
      <c r="Q30" s="8">
        <v>3.9079999999999999</v>
      </c>
      <c r="R30" s="11">
        <v>31.402999999999999</v>
      </c>
      <c r="S30" s="9">
        <v>22.4</v>
      </c>
      <c r="T30" s="11">
        <v>-4.7E-2</v>
      </c>
    </row>
    <row r="31" spans="7:20" x14ac:dyDescent="0.25">
      <c r="G31" s="6">
        <v>92678</v>
      </c>
      <c r="H31" s="12">
        <v>17</v>
      </c>
      <c r="I31" s="7">
        <f t="shared" si="7"/>
        <v>80</v>
      </c>
      <c r="J31" s="11">
        <v>3.9590000000000001</v>
      </c>
      <c r="K31" s="8">
        <v>3.97</v>
      </c>
      <c r="L31" s="11">
        <v>3.8889999999999998</v>
      </c>
      <c r="M31" s="8">
        <v>3.7970000000000002</v>
      </c>
      <c r="N31" s="11">
        <v>4.085</v>
      </c>
      <c r="O31" s="8">
        <v>3.9540000000000002</v>
      </c>
      <c r="P31" s="11">
        <v>3.8410000000000002</v>
      </c>
      <c r="Q31" s="8">
        <v>3.9079999999999999</v>
      </c>
      <c r="R31" s="11">
        <v>31.402999999999999</v>
      </c>
      <c r="S31" s="9">
        <v>22.5</v>
      </c>
      <c r="T31" s="11">
        <v>-5.0999999999999997E-2</v>
      </c>
    </row>
    <row r="32" spans="7:20" x14ac:dyDescent="0.25">
      <c r="G32" s="6">
        <v>97735</v>
      </c>
      <c r="H32" s="12">
        <v>18</v>
      </c>
      <c r="I32" s="7">
        <f t="shared" si="7"/>
        <v>85</v>
      </c>
      <c r="J32" s="11">
        <v>3.9590000000000001</v>
      </c>
      <c r="K32" s="8">
        <v>3.97</v>
      </c>
      <c r="L32" s="11">
        <v>3.8889999999999998</v>
      </c>
      <c r="M32" s="8">
        <v>3.7970000000000002</v>
      </c>
      <c r="N32" s="11">
        <v>4.085</v>
      </c>
      <c r="O32" s="8">
        <v>3.9540000000000002</v>
      </c>
      <c r="P32" s="11">
        <v>3.8410000000000002</v>
      </c>
      <c r="Q32" s="8">
        <v>3.9079999999999999</v>
      </c>
      <c r="R32" s="11">
        <v>31.402999999999999</v>
      </c>
      <c r="S32" s="9">
        <v>22.4</v>
      </c>
      <c r="T32" s="11">
        <v>-0.05</v>
      </c>
    </row>
    <row r="33" spans="7:20" x14ac:dyDescent="0.25">
      <c r="G33" s="6">
        <v>102736</v>
      </c>
      <c r="H33" s="12">
        <v>19</v>
      </c>
      <c r="I33" s="7">
        <f t="shared" si="7"/>
        <v>90</v>
      </c>
      <c r="J33" s="11">
        <v>3.9590000000000001</v>
      </c>
      <c r="K33" s="8">
        <v>3.97</v>
      </c>
      <c r="L33" s="11">
        <v>3.8889999999999998</v>
      </c>
      <c r="M33" s="8">
        <v>3.7970000000000002</v>
      </c>
      <c r="N33" s="11">
        <v>4.085</v>
      </c>
      <c r="O33" s="8">
        <v>3.9540000000000002</v>
      </c>
      <c r="P33" s="11">
        <v>3.8410000000000002</v>
      </c>
      <c r="Q33" s="8">
        <v>3.9079999999999999</v>
      </c>
      <c r="R33" s="11">
        <v>31.402999999999999</v>
      </c>
      <c r="S33" s="9">
        <v>22.5</v>
      </c>
      <c r="T33" s="11">
        <v>-0.05</v>
      </c>
    </row>
    <row r="34" spans="7:20" x14ac:dyDescent="0.25">
      <c r="G34" s="6">
        <v>107740</v>
      </c>
      <c r="H34" s="12">
        <v>20</v>
      </c>
      <c r="I34" s="7">
        <f t="shared" si="7"/>
        <v>95</v>
      </c>
      <c r="J34" s="11">
        <v>3.9590000000000001</v>
      </c>
      <c r="K34" s="8">
        <v>3.97</v>
      </c>
      <c r="L34" s="11">
        <v>3.8889999999999998</v>
      </c>
      <c r="M34" s="8">
        <v>3.8149999999999999</v>
      </c>
      <c r="N34" s="11">
        <v>4.085</v>
      </c>
      <c r="O34" s="8">
        <v>3.9540000000000002</v>
      </c>
      <c r="P34" s="11">
        <v>3.8410000000000002</v>
      </c>
      <c r="Q34" s="8">
        <v>3.9079999999999999</v>
      </c>
      <c r="R34" s="11">
        <v>31.420999999999999</v>
      </c>
      <c r="S34" s="9">
        <v>22.5</v>
      </c>
      <c r="T34" s="11">
        <v>-5.2999999999999999E-2</v>
      </c>
    </row>
    <row r="35" spans="7:20" x14ac:dyDescent="0.25">
      <c r="G35" s="6">
        <v>112746</v>
      </c>
      <c r="H35" s="12">
        <v>21</v>
      </c>
      <c r="I35" s="7">
        <f t="shared" si="7"/>
        <v>100</v>
      </c>
      <c r="J35" s="11">
        <v>3.9590000000000001</v>
      </c>
      <c r="K35" s="8">
        <v>3.97</v>
      </c>
      <c r="L35" s="11">
        <v>3.8889999999999998</v>
      </c>
      <c r="M35" s="8">
        <v>3.7970000000000002</v>
      </c>
      <c r="N35" s="11">
        <v>4.085</v>
      </c>
      <c r="O35" s="8">
        <v>3.9540000000000002</v>
      </c>
      <c r="P35" s="11">
        <v>3.8410000000000002</v>
      </c>
      <c r="Q35" s="8">
        <v>3.9079999999999999</v>
      </c>
      <c r="R35" s="11">
        <v>31.402999999999999</v>
      </c>
      <c r="S35" s="9">
        <v>22.5</v>
      </c>
      <c r="T35" s="11">
        <v>-5.8000000000000003E-2</v>
      </c>
    </row>
    <row r="36" spans="7:20" x14ac:dyDescent="0.25">
      <c r="G36" s="6">
        <v>117754</v>
      </c>
      <c r="H36" s="12">
        <v>22</v>
      </c>
      <c r="I36" s="7">
        <f t="shared" si="7"/>
        <v>105</v>
      </c>
      <c r="J36" s="11">
        <v>3.964</v>
      </c>
      <c r="K36" s="8">
        <v>3.9649999999999999</v>
      </c>
      <c r="L36" s="11">
        <v>3.8889999999999998</v>
      </c>
      <c r="M36" s="8">
        <v>3.7970000000000002</v>
      </c>
      <c r="N36" s="11">
        <v>4.085</v>
      </c>
      <c r="O36" s="8">
        <v>3.9540000000000002</v>
      </c>
      <c r="P36" s="11">
        <v>3.8410000000000002</v>
      </c>
      <c r="Q36" s="8">
        <v>3.9079999999999999</v>
      </c>
      <c r="R36" s="11">
        <v>31.402999999999999</v>
      </c>
      <c r="S36" s="9">
        <v>22.5</v>
      </c>
      <c r="T36" s="11">
        <v>-3.7999999999999999E-2</v>
      </c>
    </row>
    <row r="37" spans="7:20" x14ac:dyDescent="0.25">
      <c r="G37" s="6">
        <v>122754</v>
      </c>
      <c r="H37" s="12">
        <v>23</v>
      </c>
      <c r="I37" s="7">
        <f t="shared" si="7"/>
        <v>110</v>
      </c>
      <c r="J37" s="11">
        <v>3.9590000000000001</v>
      </c>
      <c r="K37" s="8">
        <v>3.97</v>
      </c>
      <c r="L37" s="11">
        <v>3.8889999999999998</v>
      </c>
      <c r="M37" s="8">
        <v>3.7970000000000002</v>
      </c>
      <c r="N37" s="11">
        <v>4.085</v>
      </c>
      <c r="O37" s="8">
        <v>3.9540000000000002</v>
      </c>
      <c r="P37" s="11">
        <v>3.8410000000000002</v>
      </c>
      <c r="Q37" s="8">
        <v>3.9079999999999999</v>
      </c>
      <c r="R37" s="11">
        <v>31.402999999999999</v>
      </c>
      <c r="S37" s="9">
        <v>22.5</v>
      </c>
      <c r="T37" s="11">
        <v>-6.8000000000000005E-2</v>
      </c>
    </row>
    <row r="38" spans="7:20" x14ac:dyDescent="0.25">
      <c r="G38" s="6">
        <v>127811</v>
      </c>
      <c r="H38" s="12">
        <v>24</v>
      </c>
      <c r="I38" s="7">
        <f t="shared" si="7"/>
        <v>115</v>
      </c>
      <c r="J38" s="11">
        <v>3.964</v>
      </c>
      <c r="K38" s="8">
        <v>3.9649999999999999</v>
      </c>
      <c r="L38" s="11">
        <v>3.8889999999999998</v>
      </c>
      <c r="M38" s="8">
        <v>3.8149999999999999</v>
      </c>
      <c r="N38" s="11">
        <v>4.085</v>
      </c>
      <c r="O38" s="8">
        <v>3.9540000000000002</v>
      </c>
      <c r="P38" s="11">
        <v>3.8410000000000002</v>
      </c>
      <c r="Q38" s="8">
        <v>3.9079999999999999</v>
      </c>
      <c r="R38" s="11">
        <v>31.420999999999999</v>
      </c>
      <c r="S38" s="9">
        <v>22.5</v>
      </c>
      <c r="T38" s="11">
        <v>-6.0999999999999999E-2</v>
      </c>
    </row>
    <row r="39" spans="7:20" x14ac:dyDescent="0.25">
      <c r="G39" s="6">
        <v>132812</v>
      </c>
      <c r="H39" s="12">
        <v>25</v>
      </c>
      <c r="I39" s="7">
        <f t="shared" si="7"/>
        <v>120</v>
      </c>
      <c r="J39" s="11">
        <v>3.9590000000000001</v>
      </c>
      <c r="K39" s="8">
        <v>3.97</v>
      </c>
      <c r="L39" s="11">
        <v>3.8889999999999998</v>
      </c>
      <c r="M39" s="8">
        <v>3.8149999999999999</v>
      </c>
      <c r="N39" s="11">
        <v>4.085</v>
      </c>
      <c r="O39" s="8">
        <v>3.9540000000000002</v>
      </c>
      <c r="P39" s="11">
        <v>3.8410000000000002</v>
      </c>
      <c r="Q39" s="8">
        <v>3.9079999999999999</v>
      </c>
      <c r="R39" s="11">
        <v>31.420999999999999</v>
      </c>
      <c r="S39" s="9">
        <v>22.5</v>
      </c>
      <c r="T39" s="11">
        <v>-6.4000000000000001E-2</v>
      </c>
    </row>
    <row r="40" spans="7:20" x14ac:dyDescent="0.25">
      <c r="G40" s="6">
        <v>137816</v>
      </c>
      <c r="H40" s="12">
        <v>26</v>
      </c>
      <c r="I40" s="7">
        <f t="shared" si="7"/>
        <v>125</v>
      </c>
      <c r="J40" s="11">
        <v>3.9590000000000001</v>
      </c>
      <c r="K40" s="8">
        <v>3.97</v>
      </c>
      <c r="L40" s="11">
        <v>3.8889999999999998</v>
      </c>
      <c r="M40" s="8">
        <v>3.7970000000000002</v>
      </c>
      <c r="N40" s="11">
        <v>4.085</v>
      </c>
      <c r="O40" s="8">
        <v>3.9540000000000002</v>
      </c>
      <c r="P40" s="11">
        <v>3.8410000000000002</v>
      </c>
      <c r="Q40" s="8">
        <v>3.9079999999999999</v>
      </c>
      <c r="R40" s="11">
        <v>31.402999999999999</v>
      </c>
      <c r="S40" s="9">
        <v>22.5</v>
      </c>
      <c r="T40" s="11">
        <v>-3.7999999999999999E-2</v>
      </c>
    </row>
    <row r="41" spans="7:20" x14ac:dyDescent="0.25">
      <c r="G41" s="6">
        <v>142822</v>
      </c>
      <c r="H41" s="12">
        <v>27</v>
      </c>
      <c r="I41" s="7">
        <f t="shared" si="7"/>
        <v>130</v>
      </c>
      <c r="J41" s="11">
        <v>3.9590000000000001</v>
      </c>
      <c r="K41" s="8">
        <v>3.97</v>
      </c>
      <c r="L41" s="11">
        <v>3.8889999999999998</v>
      </c>
      <c r="M41" s="8">
        <v>3.7970000000000002</v>
      </c>
      <c r="N41" s="11">
        <v>4.085</v>
      </c>
      <c r="O41" s="8">
        <v>3.9540000000000002</v>
      </c>
      <c r="P41" s="11">
        <v>3.8410000000000002</v>
      </c>
      <c r="Q41" s="8">
        <v>3.9079999999999999</v>
      </c>
      <c r="R41" s="11">
        <v>31.402999999999999</v>
      </c>
      <c r="S41" s="9">
        <v>22.5</v>
      </c>
      <c r="T41" s="11">
        <v>-6.0999999999999999E-2</v>
      </c>
    </row>
    <row r="42" spans="7:20" x14ac:dyDescent="0.25">
      <c r="G42" s="6">
        <v>147829</v>
      </c>
      <c r="H42" s="12">
        <v>28</v>
      </c>
      <c r="I42" s="7">
        <f t="shared" si="7"/>
        <v>135</v>
      </c>
      <c r="J42" s="11">
        <v>3.9590000000000001</v>
      </c>
      <c r="K42" s="8">
        <v>3.97</v>
      </c>
      <c r="L42" s="11">
        <v>3.8889999999999998</v>
      </c>
      <c r="M42" s="8">
        <v>3.7970000000000002</v>
      </c>
      <c r="N42" s="11">
        <v>4.085</v>
      </c>
      <c r="O42" s="8">
        <v>3.9540000000000002</v>
      </c>
      <c r="P42" s="11">
        <v>3.8410000000000002</v>
      </c>
      <c r="Q42" s="8">
        <v>3.9079999999999999</v>
      </c>
      <c r="R42" s="11">
        <v>31.402999999999999</v>
      </c>
      <c r="S42" s="9">
        <v>22.5</v>
      </c>
      <c r="T42" s="11">
        <v>-5.2999999999999999E-2</v>
      </c>
    </row>
    <row r="43" spans="7:20" x14ac:dyDescent="0.25">
      <c r="G43" s="6">
        <v>152830</v>
      </c>
      <c r="H43" s="12">
        <v>29</v>
      </c>
      <c r="I43" s="7">
        <f t="shared" si="7"/>
        <v>140</v>
      </c>
      <c r="J43" s="11">
        <v>3.9590000000000001</v>
      </c>
      <c r="K43" s="8">
        <v>3.97</v>
      </c>
      <c r="L43" s="11">
        <v>3.8889999999999998</v>
      </c>
      <c r="M43" s="8">
        <v>3.7970000000000002</v>
      </c>
      <c r="N43" s="11">
        <v>4.085</v>
      </c>
      <c r="O43" s="8">
        <v>3.9540000000000002</v>
      </c>
      <c r="P43" s="11">
        <v>3.8410000000000002</v>
      </c>
      <c r="Q43" s="8">
        <v>3.9079999999999999</v>
      </c>
      <c r="R43" s="11">
        <v>31.402999999999999</v>
      </c>
      <c r="S43" s="9">
        <v>22.5</v>
      </c>
      <c r="T43" s="11">
        <v>-6.9000000000000006E-2</v>
      </c>
    </row>
    <row r="44" spans="7:20" x14ac:dyDescent="0.25">
      <c r="G44" s="6">
        <v>157887</v>
      </c>
      <c r="H44" s="12">
        <v>30</v>
      </c>
      <c r="I44" s="7">
        <f t="shared" si="7"/>
        <v>145</v>
      </c>
      <c r="J44" s="11">
        <v>3.9590000000000001</v>
      </c>
      <c r="K44" s="8">
        <v>3.97</v>
      </c>
      <c r="L44" s="11">
        <v>3.8889999999999998</v>
      </c>
      <c r="M44" s="8">
        <v>3.7970000000000002</v>
      </c>
      <c r="N44" s="11">
        <v>4.085</v>
      </c>
      <c r="O44" s="8">
        <v>3.9540000000000002</v>
      </c>
      <c r="P44" s="11">
        <v>3.8410000000000002</v>
      </c>
      <c r="Q44" s="8">
        <v>3.9079999999999999</v>
      </c>
      <c r="R44" s="11">
        <v>31.402999999999999</v>
      </c>
      <c r="S44" s="9">
        <v>22.5</v>
      </c>
      <c r="T44" s="11">
        <v>-5.3999999999999999E-2</v>
      </c>
    </row>
    <row r="45" spans="7:20" x14ac:dyDescent="0.25">
      <c r="G45" s="6">
        <v>162889</v>
      </c>
      <c r="H45" s="12">
        <v>31</v>
      </c>
      <c r="I45" s="7">
        <f t="shared" si="7"/>
        <v>150</v>
      </c>
      <c r="J45" s="11">
        <v>3.9590000000000001</v>
      </c>
      <c r="K45" s="8">
        <v>3.97</v>
      </c>
      <c r="L45" s="11">
        <v>3.8889999999999998</v>
      </c>
      <c r="M45" s="8">
        <v>3.7970000000000002</v>
      </c>
      <c r="N45" s="11">
        <v>4.085</v>
      </c>
      <c r="O45" s="8">
        <v>3.9540000000000002</v>
      </c>
      <c r="P45" s="11">
        <v>3.8410000000000002</v>
      </c>
      <c r="Q45" s="8">
        <v>3.9079999999999999</v>
      </c>
      <c r="R45" s="11">
        <v>31.402999999999999</v>
      </c>
      <c r="S45" s="9">
        <v>22.5</v>
      </c>
      <c r="T45" s="11">
        <v>-5.8999999999999997E-2</v>
      </c>
    </row>
    <row r="46" spans="7:20" x14ac:dyDescent="0.25">
      <c r="G46" s="6">
        <v>167892</v>
      </c>
      <c r="H46" s="12">
        <v>32</v>
      </c>
      <c r="I46" s="7">
        <f t="shared" si="7"/>
        <v>155</v>
      </c>
      <c r="J46" s="11">
        <v>3.9590000000000001</v>
      </c>
      <c r="K46" s="8">
        <v>3.97</v>
      </c>
      <c r="L46" s="11">
        <v>3.8889999999999998</v>
      </c>
      <c r="M46" s="8">
        <v>3.7970000000000002</v>
      </c>
      <c r="N46" s="11">
        <v>4.085</v>
      </c>
      <c r="O46" s="8">
        <v>3.9540000000000002</v>
      </c>
      <c r="P46" s="11">
        <v>3.8410000000000002</v>
      </c>
      <c r="Q46" s="8">
        <v>3.9079999999999999</v>
      </c>
      <c r="R46" s="11">
        <v>31.402999999999999</v>
      </c>
      <c r="S46" s="9">
        <v>22.5</v>
      </c>
      <c r="T46" s="11">
        <v>-0.06</v>
      </c>
    </row>
    <row r="47" spans="7:20" x14ac:dyDescent="0.25">
      <c r="G47" s="6">
        <v>172898</v>
      </c>
      <c r="H47" s="12">
        <v>33</v>
      </c>
      <c r="I47" s="7">
        <f t="shared" si="7"/>
        <v>160</v>
      </c>
      <c r="J47" s="11">
        <v>3.9590000000000001</v>
      </c>
      <c r="K47" s="8">
        <v>3.97</v>
      </c>
      <c r="L47" s="11">
        <v>3.8889999999999998</v>
      </c>
      <c r="M47" s="8">
        <v>3.7970000000000002</v>
      </c>
      <c r="N47" s="11">
        <v>4.085</v>
      </c>
      <c r="O47" s="8">
        <v>3.9540000000000002</v>
      </c>
      <c r="P47" s="11">
        <v>3.8410000000000002</v>
      </c>
      <c r="Q47" s="8">
        <v>3.9079999999999999</v>
      </c>
      <c r="R47" s="11">
        <v>31.402999999999999</v>
      </c>
      <c r="S47" s="9">
        <v>22.5</v>
      </c>
      <c r="T47" s="11">
        <v>-0.06</v>
      </c>
    </row>
    <row r="48" spans="7:20" x14ac:dyDescent="0.25">
      <c r="G48" s="6">
        <v>177906</v>
      </c>
      <c r="H48" s="12">
        <v>34</v>
      </c>
      <c r="I48" s="7">
        <f t="shared" si="7"/>
        <v>165</v>
      </c>
      <c r="J48" s="11">
        <v>3.9590000000000001</v>
      </c>
      <c r="K48" s="8">
        <v>3.97</v>
      </c>
      <c r="L48" s="11">
        <v>3.8889999999999998</v>
      </c>
      <c r="M48" s="8">
        <v>3.8149999999999999</v>
      </c>
      <c r="N48" s="11">
        <v>4.085</v>
      </c>
      <c r="O48" s="8">
        <v>3.9540000000000002</v>
      </c>
      <c r="P48" s="11">
        <v>3.8410000000000002</v>
      </c>
      <c r="Q48" s="8">
        <v>3.9079999999999999</v>
      </c>
      <c r="R48" s="11">
        <v>31.420999999999999</v>
      </c>
      <c r="S48" s="9">
        <v>22.4</v>
      </c>
      <c r="T48" s="11">
        <v>-7.0999999999999994E-2</v>
      </c>
    </row>
    <row r="49" spans="7:20" x14ac:dyDescent="0.25">
      <c r="G49" s="6">
        <v>182906</v>
      </c>
      <c r="H49" s="12">
        <v>35</v>
      </c>
      <c r="I49" s="7">
        <f t="shared" si="7"/>
        <v>170</v>
      </c>
      <c r="J49" s="11">
        <v>3.964</v>
      </c>
      <c r="K49" s="8">
        <v>3.9649999999999999</v>
      </c>
      <c r="L49" s="11">
        <v>3.8889999999999998</v>
      </c>
      <c r="M49" s="8">
        <v>3.8149999999999999</v>
      </c>
      <c r="N49" s="11">
        <v>4.085</v>
      </c>
      <c r="O49" s="8">
        <v>3.9540000000000002</v>
      </c>
      <c r="P49" s="11">
        <v>3.8410000000000002</v>
      </c>
      <c r="Q49" s="8">
        <v>3.9079999999999999</v>
      </c>
      <c r="R49" s="11">
        <v>31.420999999999999</v>
      </c>
      <c r="S49" s="9">
        <v>22.5</v>
      </c>
      <c r="T49" s="11">
        <v>-7.8E-2</v>
      </c>
    </row>
    <row r="50" spans="7:20" x14ac:dyDescent="0.25">
      <c r="G50" s="6">
        <v>187963</v>
      </c>
      <c r="H50" s="12">
        <v>36</v>
      </c>
      <c r="I50" s="7">
        <f t="shared" si="7"/>
        <v>175</v>
      </c>
      <c r="J50" s="11">
        <v>3.964</v>
      </c>
      <c r="K50" s="8">
        <v>3.9649999999999999</v>
      </c>
      <c r="L50" s="11">
        <v>3.8889999999999998</v>
      </c>
      <c r="M50" s="8">
        <v>3.8149999999999999</v>
      </c>
      <c r="N50" s="11">
        <v>4.085</v>
      </c>
      <c r="O50" s="8">
        <v>3.9540000000000002</v>
      </c>
      <c r="P50" s="11">
        <v>3.8410000000000002</v>
      </c>
      <c r="Q50" s="8">
        <v>3.9079999999999999</v>
      </c>
      <c r="R50" s="11">
        <v>31.420999999999999</v>
      </c>
      <c r="S50" s="9">
        <v>22.5</v>
      </c>
      <c r="T50" s="11">
        <v>-6.0999999999999999E-2</v>
      </c>
    </row>
    <row r="51" spans="7:20" x14ac:dyDescent="0.25">
      <c r="G51" s="6">
        <v>192964</v>
      </c>
      <c r="H51" s="12">
        <v>37</v>
      </c>
      <c r="I51" s="7">
        <f t="shared" si="7"/>
        <v>180</v>
      </c>
      <c r="J51" s="11">
        <v>3.964</v>
      </c>
      <c r="K51" s="8">
        <v>3.9649999999999999</v>
      </c>
      <c r="L51" s="11">
        <v>3.8889999999999998</v>
      </c>
      <c r="M51" s="8">
        <v>3.8149999999999999</v>
      </c>
      <c r="N51" s="11">
        <v>4.085</v>
      </c>
      <c r="O51" s="8">
        <v>3.9540000000000002</v>
      </c>
      <c r="P51" s="11">
        <v>3.8410000000000002</v>
      </c>
      <c r="Q51" s="8">
        <v>3.9079999999999999</v>
      </c>
      <c r="R51" s="11">
        <v>31.420999999999999</v>
      </c>
      <c r="S51" s="9">
        <v>22.5</v>
      </c>
      <c r="T51" s="11">
        <v>-7.5999999999999998E-2</v>
      </c>
    </row>
    <row r="52" spans="7:20" x14ac:dyDescent="0.25">
      <c r="G52" s="6">
        <v>197968</v>
      </c>
      <c r="H52" s="12">
        <v>38</v>
      </c>
      <c r="I52" s="7">
        <f t="shared" si="7"/>
        <v>185</v>
      </c>
      <c r="J52" s="11">
        <v>3.9590000000000001</v>
      </c>
      <c r="K52" s="8">
        <v>3.97</v>
      </c>
      <c r="L52" s="11">
        <v>3.8889999999999998</v>
      </c>
      <c r="M52" s="8">
        <v>3.8149999999999999</v>
      </c>
      <c r="N52" s="11">
        <v>4.085</v>
      </c>
      <c r="O52" s="8">
        <v>3.9540000000000002</v>
      </c>
      <c r="P52" s="11">
        <v>3.8410000000000002</v>
      </c>
      <c r="Q52" s="8">
        <v>3.9079999999999999</v>
      </c>
      <c r="R52" s="11">
        <v>31.420999999999999</v>
      </c>
      <c r="S52" s="9">
        <v>22.5</v>
      </c>
      <c r="T52" s="11">
        <v>-7.3999999999999996E-2</v>
      </c>
    </row>
    <row r="53" spans="7:20" x14ac:dyDescent="0.25">
      <c r="G53" s="6">
        <v>202974</v>
      </c>
      <c r="H53" s="12">
        <v>39</v>
      </c>
      <c r="I53" s="7">
        <f t="shared" si="7"/>
        <v>190</v>
      </c>
      <c r="J53" s="11">
        <v>3.964</v>
      </c>
      <c r="K53" s="8">
        <v>3.9649999999999999</v>
      </c>
      <c r="L53" s="11">
        <v>3.8889999999999998</v>
      </c>
      <c r="M53" s="8">
        <v>3.8149999999999999</v>
      </c>
      <c r="N53" s="11">
        <v>4.085</v>
      </c>
      <c r="O53" s="8">
        <v>3.9540000000000002</v>
      </c>
      <c r="P53" s="11">
        <v>3.8410000000000002</v>
      </c>
      <c r="Q53" s="8">
        <v>3.9079999999999999</v>
      </c>
      <c r="R53" s="11">
        <v>31.420999999999999</v>
      </c>
      <c r="S53" s="9">
        <v>22.5</v>
      </c>
      <c r="T53" s="11">
        <v>-7.1999999999999995E-2</v>
      </c>
    </row>
    <row r="54" spans="7:20" x14ac:dyDescent="0.25">
      <c r="G54" s="6">
        <v>207982</v>
      </c>
      <c r="H54" s="12">
        <v>40</v>
      </c>
      <c r="I54" s="7">
        <f t="shared" si="7"/>
        <v>195</v>
      </c>
      <c r="J54" s="11">
        <v>3.9590000000000001</v>
      </c>
      <c r="K54" s="8">
        <v>3.97</v>
      </c>
      <c r="L54" s="11">
        <v>3.8889999999999998</v>
      </c>
      <c r="M54" s="8">
        <v>3.8149999999999999</v>
      </c>
      <c r="N54" s="11">
        <v>4.085</v>
      </c>
      <c r="O54" s="8">
        <v>3.9540000000000002</v>
      </c>
      <c r="P54" s="11">
        <v>3.8410000000000002</v>
      </c>
      <c r="Q54" s="8">
        <v>3.9079999999999999</v>
      </c>
      <c r="R54" s="11">
        <v>31.420999999999999</v>
      </c>
      <c r="S54" s="9">
        <v>22.5</v>
      </c>
      <c r="T54" s="11">
        <v>-7.2999999999999995E-2</v>
      </c>
    </row>
    <row r="55" spans="7:20" x14ac:dyDescent="0.25">
      <c r="G55" s="6">
        <v>212982</v>
      </c>
      <c r="H55" s="12">
        <v>41</v>
      </c>
      <c r="I55" s="7">
        <f t="shared" si="7"/>
        <v>200</v>
      </c>
      <c r="J55" s="11">
        <v>3.9590000000000001</v>
      </c>
      <c r="K55" s="8">
        <v>3.97</v>
      </c>
      <c r="L55" s="11">
        <v>3.8889999999999998</v>
      </c>
      <c r="M55" s="8">
        <v>3.8149999999999999</v>
      </c>
      <c r="N55" s="11">
        <v>4.085</v>
      </c>
      <c r="O55" s="8">
        <v>3.9540000000000002</v>
      </c>
      <c r="P55" s="11">
        <v>3.8410000000000002</v>
      </c>
      <c r="Q55" s="8">
        <v>3.9079999999999999</v>
      </c>
      <c r="R55" s="11">
        <v>31.420999999999999</v>
      </c>
      <c r="S55" s="9">
        <v>22.5</v>
      </c>
      <c r="T55" s="11">
        <v>-7.9000000000000001E-2</v>
      </c>
    </row>
    <row r="56" spans="7:20" x14ac:dyDescent="0.25">
      <c r="G56" s="6">
        <v>218039</v>
      </c>
      <c r="H56" s="12">
        <v>42</v>
      </c>
      <c r="I56" s="7">
        <f>FLOOR((G56/1000)-13, 1)</f>
        <v>205</v>
      </c>
      <c r="J56" s="11">
        <v>3.964</v>
      </c>
      <c r="K56" s="8">
        <v>3.9649999999999999</v>
      </c>
      <c r="L56" s="11">
        <v>3.8889999999999998</v>
      </c>
      <c r="M56" s="8">
        <v>3.8149999999999999</v>
      </c>
      <c r="N56" s="11">
        <v>4.085</v>
      </c>
      <c r="O56" s="8">
        <v>3.9540000000000002</v>
      </c>
      <c r="P56" s="11">
        <v>3.8410000000000002</v>
      </c>
      <c r="Q56" s="8">
        <v>3.9079999999999999</v>
      </c>
      <c r="R56" s="11">
        <v>31.420999999999999</v>
      </c>
      <c r="S56" s="9">
        <v>22.5</v>
      </c>
      <c r="T56" s="11">
        <v>-8.5000000000000006E-2</v>
      </c>
    </row>
    <row r="57" spans="7:20" x14ac:dyDescent="0.25">
      <c r="G57" s="6">
        <v>223050</v>
      </c>
      <c r="H57" s="12">
        <v>43</v>
      </c>
      <c r="I57" s="7">
        <f t="shared" ref="I57:I95" si="8">FLOOR((G57/1000)-13, 1)</f>
        <v>210</v>
      </c>
      <c r="J57" s="11">
        <v>3.9590000000000001</v>
      </c>
      <c r="K57" s="8">
        <v>3.97</v>
      </c>
      <c r="L57" s="11">
        <v>3.8889999999999998</v>
      </c>
      <c r="M57" s="8">
        <v>3.8149999999999999</v>
      </c>
      <c r="N57" s="11">
        <v>4.085</v>
      </c>
      <c r="O57" s="8">
        <v>3.9540000000000002</v>
      </c>
      <c r="P57" s="11">
        <v>3.8410000000000002</v>
      </c>
      <c r="Q57" s="8">
        <v>3.9079999999999999</v>
      </c>
      <c r="R57" s="11">
        <v>31.420999999999999</v>
      </c>
      <c r="S57" s="9">
        <v>22.5</v>
      </c>
      <c r="T57" s="11">
        <v>-7.5999999999999998E-2</v>
      </c>
    </row>
    <row r="58" spans="7:20" x14ac:dyDescent="0.25">
      <c r="G58" s="6">
        <v>228113</v>
      </c>
      <c r="H58" s="12">
        <v>44</v>
      </c>
      <c r="I58" s="7">
        <f t="shared" si="8"/>
        <v>215</v>
      </c>
      <c r="J58" s="11">
        <v>3.9590000000000001</v>
      </c>
      <c r="K58" s="8">
        <v>3.97</v>
      </c>
      <c r="L58" s="11">
        <v>3.8889999999999998</v>
      </c>
      <c r="M58" s="8">
        <v>3.8149999999999999</v>
      </c>
      <c r="N58" s="11">
        <v>4.085</v>
      </c>
      <c r="O58" s="8">
        <v>3.9540000000000002</v>
      </c>
      <c r="P58" s="11">
        <v>3.8410000000000002</v>
      </c>
      <c r="Q58" s="8">
        <v>3.9079999999999999</v>
      </c>
      <c r="R58" s="11">
        <v>31.420999999999999</v>
      </c>
      <c r="S58" s="9">
        <v>22.5</v>
      </c>
      <c r="T58" s="11">
        <v>-8.1000000000000003E-2</v>
      </c>
    </row>
    <row r="59" spans="7:20" x14ac:dyDescent="0.25">
      <c r="G59" s="6">
        <v>233124</v>
      </c>
      <c r="H59" s="12">
        <v>45</v>
      </c>
      <c r="I59" s="7">
        <f t="shared" si="8"/>
        <v>220</v>
      </c>
      <c r="J59" s="11">
        <v>3.9590000000000001</v>
      </c>
      <c r="K59" s="8">
        <v>3.97</v>
      </c>
      <c r="L59" s="11">
        <v>3.8889999999999998</v>
      </c>
      <c r="M59" s="8">
        <v>3.8149999999999999</v>
      </c>
      <c r="N59" s="11">
        <v>4.085</v>
      </c>
      <c r="O59" s="8">
        <v>3.9540000000000002</v>
      </c>
      <c r="P59" s="11">
        <v>3.8410000000000002</v>
      </c>
      <c r="Q59" s="8">
        <v>3.9079999999999999</v>
      </c>
      <c r="R59" s="11">
        <v>31.420999999999999</v>
      </c>
      <c r="S59" s="9">
        <v>22.5</v>
      </c>
      <c r="T59" s="11">
        <v>-7.1999999999999995E-2</v>
      </c>
    </row>
    <row r="60" spans="7:20" x14ac:dyDescent="0.25">
      <c r="G60" s="6">
        <v>238125</v>
      </c>
      <c r="H60" s="12">
        <v>46</v>
      </c>
      <c r="I60" s="7">
        <f t="shared" si="8"/>
        <v>225</v>
      </c>
      <c r="J60" s="11">
        <v>3.9590000000000001</v>
      </c>
      <c r="K60" s="8">
        <v>3.97</v>
      </c>
      <c r="L60" s="11">
        <v>3.8889999999999998</v>
      </c>
      <c r="M60" s="8">
        <v>3.8149999999999999</v>
      </c>
      <c r="N60" s="11">
        <v>4.085</v>
      </c>
      <c r="O60" s="8">
        <v>3.9540000000000002</v>
      </c>
      <c r="P60" s="11">
        <v>3.8410000000000002</v>
      </c>
      <c r="Q60" s="8">
        <v>3.9079999999999999</v>
      </c>
      <c r="R60" s="11">
        <v>31.420999999999999</v>
      </c>
      <c r="S60" s="9">
        <v>22.5</v>
      </c>
      <c r="T60" s="11">
        <v>-7.8E-2</v>
      </c>
    </row>
    <row r="61" spans="7:20" x14ac:dyDescent="0.25">
      <c r="G61" s="6">
        <v>243132</v>
      </c>
      <c r="H61" s="12">
        <v>47</v>
      </c>
      <c r="I61" s="7">
        <f t="shared" si="8"/>
        <v>230</v>
      </c>
      <c r="J61" s="11">
        <v>3.964</v>
      </c>
      <c r="K61" s="8">
        <v>3.9649999999999999</v>
      </c>
      <c r="L61" s="11">
        <v>3.8889999999999998</v>
      </c>
      <c r="M61" s="8">
        <v>3.8149999999999999</v>
      </c>
      <c r="N61" s="11">
        <v>4.085</v>
      </c>
      <c r="O61" s="8">
        <v>3.9540000000000002</v>
      </c>
      <c r="P61" s="11">
        <v>3.8410000000000002</v>
      </c>
      <c r="Q61" s="8">
        <v>3.9079999999999999</v>
      </c>
      <c r="R61" s="11">
        <v>31.420999999999999</v>
      </c>
      <c r="S61" s="9">
        <v>22.4</v>
      </c>
      <c r="T61" s="11">
        <v>-7.2999999999999995E-2</v>
      </c>
    </row>
    <row r="62" spans="7:20" x14ac:dyDescent="0.25">
      <c r="G62" s="6">
        <v>248140</v>
      </c>
      <c r="H62" s="12">
        <v>48</v>
      </c>
      <c r="I62" s="7">
        <f t="shared" si="8"/>
        <v>235</v>
      </c>
      <c r="J62" s="11">
        <v>3.964</v>
      </c>
      <c r="K62" s="8">
        <v>3.9649999999999999</v>
      </c>
      <c r="L62" s="11">
        <v>3.8889999999999998</v>
      </c>
      <c r="M62" s="8">
        <v>3.8149999999999999</v>
      </c>
      <c r="N62" s="11">
        <v>4.085</v>
      </c>
      <c r="O62" s="8">
        <v>3.9540000000000002</v>
      </c>
      <c r="P62" s="11">
        <v>3.8410000000000002</v>
      </c>
      <c r="Q62" s="8">
        <v>3.9079999999999999</v>
      </c>
      <c r="R62" s="11">
        <v>31.420999999999999</v>
      </c>
      <c r="S62" s="9">
        <v>22.5</v>
      </c>
      <c r="T62" s="11">
        <v>-0.09</v>
      </c>
    </row>
    <row r="63" spans="7:20" x14ac:dyDescent="0.25">
      <c r="G63" s="6">
        <v>253140</v>
      </c>
      <c r="H63" s="12">
        <v>49</v>
      </c>
      <c r="I63" s="7">
        <f t="shared" si="8"/>
        <v>240</v>
      </c>
      <c r="J63" s="11">
        <v>3.964</v>
      </c>
      <c r="K63" s="8">
        <v>3.9649999999999999</v>
      </c>
      <c r="L63" s="11">
        <v>3.8889999999999998</v>
      </c>
      <c r="M63" s="8">
        <v>3.8149999999999999</v>
      </c>
      <c r="N63" s="11">
        <v>4.085</v>
      </c>
      <c r="O63" s="8">
        <v>3.9540000000000002</v>
      </c>
      <c r="P63" s="11">
        <v>3.8410000000000002</v>
      </c>
      <c r="Q63" s="8">
        <v>3.9079999999999999</v>
      </c>
      <c r="R63" s="11">
        <v>31.420999999999999</v>
      </c>
      <c r="S63" s="9">
        <v>22.5</v>
      </c>
      <c r="T63" s="11">
        <v>-7.0000000000000007E-2</v>
      </c>
    </row>
    <row r="64" spans="7:20" x14ac:dyDescent="0.25">
      <c r="G64" s="6">
        <v>258177</v>
      </c>
      <c r="H64" s="12">
        <v>50</v>
      </c>
      <c r="I64" s="7">
        <f t="shared" si="8"/>
        <v>245</v>
      </c>
      <c r="J64" s="11">
        <v>3.964</v>
      </c>
      <c r="K64" s="8">
        <v>3.9649999999999999</v>
      </c>
      <c r="L64" s="11">
        <v>3.8889999999999998</v>
      </c>
      <c r="M64" s="8">
        <v>3.8149999999999999</v>
      </c>
      <c r="N64" s="11">
        <v>4.085</v>
      </c>
      <c r="O64" s="8">
        <v>3.9540000000000002</v>
      </c>
      <c r="P64" s="11">
        <v>3.8410000000000002</v>
      </c>
      <c r="Q64" s="8">
        <v>3.9079999999999999</v>
      </c>
      <c r="R64" s="11">
        <v>31.420999999999999</v>
      </c>
      <c r="S64" s="9">
        <v>22.5</v>
      </c>
      <c r="T64" s="11">
        <v>-7.3999999999999996E-2</v>
      </c>
    </row>
    <row r="65" spans="7:20" x14ac:dyDescent="0.25">
      <c r="G65" s="6">
        <v>263178</v>
      </c>
      <c r="H65" s="12">
        <v>51</v>
      </c>
      <c r="I65" s="7">
        <f t="shared" si="8"/>
        <v>250</v>
      </c>
      <c r="J65" s="11">
        <v>3.964</v>
      </c>
      <c r="K65" s="8">
        <v>3.9649999999999999</v>
      </c>
      <c r="L65" s="11">
        <v>3.8889999999999998</v>
      </c>
      <c r="M65" s="8">
        <v>3.7970000000000002</v>
      </c>
      <c r="N65" s="11">
        <v>4.085</v>
      </c>
      <c r="O65" s="8">
        <v>3.9540000000000002</v>
      </c>
      <c r="P65" s="11">
        <v>3.8410000000000002</v>
      </c>
      <c r="Q65" s="8">
        <v>3.9079999999999999</v>
      </c>
      <c r="R65" s="11">
        <v>31.402999999999999</v>
      </c>
      <c r="S65" s="9">
        <v>22.5</v>
      </c>
      <c r="T65" s="11">
        <v>-8.6999999999999994E-2</v>
      </c>
    </row>
    <row r="66" spans="7:20" x14ac:dyDescent="0.25">
      <c r="G66" s="6">
        <v>268182</v>
      </c>
      <c r="H66" s="12">
        <v>52</v>
      </c>
      <c r="I66" s="7">
        <f t="shared" si="8"/>
        <v>255</v>
      </c>
      <c r="J66" s="11">
        <v>3.964</v>
      </c>
      <c r="K66" s="8">
        <v>3.9740000000000002</v>
      </c>
      <c r="L66" s="11">
        <v>3.88</v>
      </c>
      <c r="M66" s="8">
        <v>3.8149999999999999</v>
      </c>
      <c r="N66" s="11">
        <v>4.0670000000000002</v>
      </c>
      <c r="O66" s="8">
        <v>3.9540000000000002</v>
      </c>
      <c r="P66" s="11">
        <v>3.8410000000000002</v>
      </c>
      <c r="Q66" s="8">
        <v>3.9079999999999999</v>
      </c>
      <c r="R66" s="11">
        <v>31.402999999999999</v>
      </c>
      <c r="S66" s="9">
        <v>22.5</v>
      </c>
      <c r="T66" s="11">
        <v>-9.2999999999999999E-2</v>
      </c>
    </row>
    <row r="67" spans="7:20" x14ac:dyDescent="0.25">
      <c r="G67" s="6">
        <v>273188</v>
      </c>
      <c r="H67" s="12">
        <v>53</v>
      </c>
      <c r="I67" s="7">
        <f t="shared" si="8"/>
        <v>260</v>
      </c>
      <c r="J67" s="11">
        <v>3.964</v>
      </c>
      <c r="K67" s="8">
        <v>3.9649999999999999</v>
      </c>
      <c r="L67" s="11">
        <v>3.8889999999999998</v>
      </c>
      <c r="M67" s="8">
        <v>3.8149999999999999</v>
      </c>
      <c r="N67" s="11">
        <v>4.085</v>
      </c>
      <c r="O67" s="8">
        <v>3.9540000000000002</v>
      </c>
      <c r="P67" s="11">
        <v>3.8410000000000002</v>
      </c>
      <c r="Q67" s="8">
        <v>3.9079999999999999</v>
      </c>
      <c r="R67" s="11">
        <v>31.420999999999999</v>
      </c>
      <c r="S67" s="9">
        <v>22.5</v>
      </c>
      <c r="T67" s="11">
        <v>-7.9000000000000001E-2</v>
      </c>
    </row>
    <row r="68" spans="7:20" x14ac:dyDescent="0.25">
      <c r="G68" s="6">
        <v>278196</v>
      </c>
      <c r="H68" s="12">
        <v>54</v>
      </c>
      <c r="I68" s="7">
        <f t="shared" si="8"/>
        <v>265</v>
      </c>
      <c r="J68" s="11">
        <v>3.964</v>
      </c>
      <c r="K68" s="8">
        <v>3.9649999999999999</v>
      </c>
      <c r="L68" s="11">
        <v>3.8889999999999998</v>
      </c>
      <c r="M68" s="8">
        <v>3.8149999999999999</v>
      </c>
      <c r="N68" s="11">
        <v>4.0670000000000002</v>
      </c>
      <c r="O68" s="8">
        <v>3.9820000000000002</v>
      </c>
      <c r="P68" s="11">
        <v>3.8450000000000002</v>
      </c>
      <c r="Q68" s="8">
        <v>3.8759999999999999</v>
      </c>
      <c r="R68" s="11">
        <v>31.402999999999999</v>
      </c>
      <c r="S68" s="9">
        <v>22.5</v>
      </c>
      <c r="T68" s="11">
        <v>-0.09</v>
      </c>
    </row>
    <row r="69" spans="7:20" x14ac:dyDescent="0.25">
      <c r="G69" s="6">
        <v>293254</v>
      </c>
      <c r="H69" s="12">
        <v>55</v>
      </c>
      <c r="I69" s="7">
        <f t="shared" si="8"/>
        <v>280</v>
      </c>
      <c r="J69" s="11">
        <v>3.964</v>
      </c>
      <c r="K69" s="8">
        <v>3.9649999999999999</v>
      </c>
      <c r="L69" s="11">
        <v>3.8889999999999998</v>
      </c>
      <c r="M69" s="8">
        <v>3.8149999999999999</v>
      </c>
      <c r="N69" s="11">
        <v>4.085</v>
      </c>
      <c r="O69" s="8">
        <v>3.9540000000000002</v>
      </c>
      <c r="P69" s="11">
        <v>3.8410000000000002</v>
      </c>
      <c r="Q69" s="8">
        <v>3.9079999999999999</v>
      </c>
      <c r="R69" s="11">
        <v>31.420999999999999</v>
      </c>
      <c r="S69" s="9">
        <v>22.5</v>
      </c>
      <c r="T69" s="11">
        <v>-7.6999999999999999E-2</v>
      </c>
    </row>
    <row r="70" spans="7:20" x14ac:dyDescent="0.25">
      <c r="G70" s="6">
        <v>298259</v>
      </c>
      <c r="H70" s="12">
        <v>56</v>
      </c>
      <c r="I70" s="7">
        <f t="shared" si="8"/>
        <v>285</v>
      </c>
      <c r="J70" s="11">
        <v>3.964</v>
      </c>
      <c r="K70" s="8">
        <v>3.9740000000000002</v>
      </c>
      <c r="L70" s="11">
        <v>3.88</v>
      </c>
      <c r="M70" s="8">
        <v>3.8149999999999999</v>
      </c>
      <c r="N70" s="11">
        <v>4.085</v>
      </c>
      <c r="O70" s="8">
        <v>3.9820000000000002</v>
      </c>
      <c r="P70" s="11">
        <v>3.8130000000000002</v>
      </c>
      <c r="Q70" s="8">
        <v>3.9079999999999999</v>
      </c>
      <c r="R70" s="11">
        <v>31.420999999999999</v>
      </c>
      <c r="S70" s="9">
        <v>22.5</v>
      </c>
      <c r="T70" s="11">
        <v>-7.3999999999999996E-2</v>
      </c>
    </row>
    <row r="71" spans="7:20" x14ac:dyDescent="0.25">
      <c r="G71" s="6">
        <v>303265</v>
      </c>
      <c r="H71" s="12">
        <v>57</v>
      </c>
      <c r="I71" s="7">
        <f t="shared" si="8"/>
        <v>290</v>
      </c>
      <c r="J71" s="11">
        <v>3.964</v>
      </c>
      <c r="K71" s="8">
        <v>3.9740000000000002</v>
      </c>
      <c r="L71" s="11">
        <v>3.88</v>
      </c>
      <c r="M71" s="8">
        <v>3.8149999999999999</v>
      </c>
      <c r="N71" s="11">
        <v>4.0670000000000002</v>
      </c>
      <c r="O71" s="8">
        <v>3.9820000000000002</v>
      </c>
      <c r="P71" s="11">
        <v>3.8450000000000002</v>
      </c>
      <c r="Q71" s="8">
        <v>3.8759999999999999</v>
      </c>
      <c r="R71" s="11">
        <v>31.402999999999999</v>
      </c>
      <c r="S71" s="9">
        <v>22.5</v>
      </c>
      <c r="T71" s="11">
        <v>-7.9000000000000001E-2</v>
      </c>
    </row>
    <row r="72" spans="7:20" x14ac:dyDescent="0.25">
      <c r="G72" s="6">
        <v>308273</v>
      </c>
      <c r="H72" s="12">
        <v>58</v>
      </c>
      <c r="I72" s="7">
        <f t="shared" si="8"/>
        <v>295</v>
      </c>
      <c r="J72" s="11">
        <v>3.964</v>
      </c>
      <c r="K72" s="8">
        <v>3.9740000000000002</v>
      </c>
      <c r="L72" s="11">
        <v>3.88</v>
      </c>
      <c r="M72" s="8">
        <v>3.8149999999999999</v>
      </c>
      <c r="N72" s="11">
        <v>4.085</v>
      </c>
      <c r="O72" s="8">
        <v>3.9820000000000002</v>
      </c>
      <c r="P72" s="11">
        <v>3.8450000000000002</v>
      </c>
      <c r="Q72" s="8">
        <v>3.8759999999999999</v>
      </c>
      <c r="R72" s="11">
        <v>31.420999999999999</v>
      </c>
      <c r="S72" s="9">
        <v>22.5</v>
      </c>
      <c r="T72" s="11">
        <v>-5.6000000000000001E-2</v>
      </c>
    </row>
    <row r="73" spans="7:20" x14ac:dyDescent="0.25">
      <c r="G73" s="6">
        <v>313273</v>
      </c>
      <c r="H73" s="12">
        <v>59</v>
      </c>
      <c r="I73" s="7">
        <f t="shared" si="8"/>
        <v>300</v>
      </c>
      <c r="J73" s="11">
        <v>3.964</v>
      </c>
      <c r="K73" s="8">
        <v>3.9740000000000002</v>
      </c>
      <c r="L73" s="11">
        <v>3.88</v>
      </c>
      <c r="M73" s="8">
        <v>3.8149999999999999</v>
      </c>
      <c r="N73" s="11">
        <v>4.0670000000000002</v>
      </c>
      <c r="O73" s="8">
        <v>3.9820000000000002</v>
      </c>
      <c r="P73" s="11">
        <v>3.8450000000000002</v>
      </c>
      <c r="Q73" s="8">
        <v>3.8759999999999999</v>
      </c>
      <c r="R73" s="11">
        <v>31.402999999999999</v>
      </c>
      <c r="S73" s="9">
        <v>22.5</v>
      </c>
      <c r="T73" s="11">
        <v>-8.5999999999999993E-2</v>
      </c>
    </row>
    <row r="74" spans="7:20" x14ac:dyDescent="0.25">
      <c r="G74" s="6">
        <v>318331</v>
      </c>
      <c r="H74" s="12">
        <v>60</v>
      </c>
      <c r="I74" s="7">
        <f t="shared" si="8"/>
        <v>305</v>
      </c>
      <c r="J74" s="11">
        <v>3.964</v>
      </c>
      <c r="K74" s="8">
        <v>3.9740000000000002</v>
      </c>
      <c r="L74" s="11">
        <v>3.88</v>
      </c>
      <c r="M74" s="8">
        <v>3.8149999999999999</v>
      </c>
      <c r="N74" s="11">
        <v>4.085</v>
      </c>
      <c r="O74" s="8">
        <v>3.9820000000000002</v>
      </c>
      <c r="P74" s="11">
        <v>3.8450000000000002</v>
      </c>
      <c r="Q74" s="8">
        <v>3.8759999999999999</v>
      </c>
      <c r="R74" s="11">
        <v>31.420999999999999</v>
      </c>
      <c r="S74" s="9">
        <v>22.5</v>
      </c>
      <c r="T74" s="11">
        <v>-8.4000000000000005E-2</v>
      </c>
    </row>
    <row r="75" spans="7:20" x14ac:dyDescent="0.25">
      <c r="G75" s="6">
        <v>323342</v>
      </c>
      <c r="H75" s="12">
        <v>61</v>
      </c>
      <c r="I75" s="7">
        <f t="shared" si="8"/>
        <v>310</v>
      </c>
      <c r="J75" s="11">
        <v>3.964</v>
      </c>
      <c r="K75" s="8">
        <v>3.9740000000000002</v>
      </c>
      <c r="L75" s="11">
        <v>3.88</v>
      </c>
      <c r="M75" s="8">
        <v>3.8149999999999999</v>
      </c>
      <c r="N75" s="11">
        <v>4.085</v>
      </c>
      <c r="O75" s="8">
        <v>3.9820000000000002</v>
      </c>
      <c r="P75" s="11">
        <v>3.8130000000000002</v>
      </c>
      <c r="Q75" s="8">
        <v>3.9079999999999999</v>
      </c>
      <c r="R75" s="11">
        <v>31.420999999999999</v>
      </c>
      <c r="S75" s="9">
        <v>22.5</v>
      </c>
      <c r="T75" s="11">
        <v>-8.1000000000000003E-2</v>
      </c>
    </row>
    <row r="76" spans="7:20" x14ac:dyDescent="0.25">
      <c r="G76" s="6">
        <v>328404</v>
      </c>
      <c r="H76" s="12">
        <v>62</v>
      </c>
      <c r="I76" s="7">
        <f t="shared" si="8"/>
        <v>315</v>
      </c>
      <c r="J76" s="11">
        <v>3.964</v>
      </c>
      <c r="K76" s="8">
        <v>3.9740000000000002</v>
      </c>
      <c r="L76" s="11">
        <v>3.88</v>
      </c>
      <c r="M76" s="8">
        <v>3.8149999999999999</v>
      </c>
      <c r="N76" s="11">
        <v>4.085</v>
      </c>
      <c r="O76" s="8">
        <v>3.9820000000000002</v>
      </c>
      <c r="P76" s="11">
        <v>3.8130000000000002</v>
      </c>
      <c r="Q76" s="8">
        <v>3.9079999999999999</v>
      </c>
      <c r="R76" s="11">
        <v>31.420999999999999</v>
      </c>
      <c r="S76" s="9">
        <v>22.5</v>
      </c>
      <c r="T76" s="11">
        <v>-9.1999999999999998E-2</v>
      </c>
    </row>
    <row r="77" spans="7:20" x14ac:dyDescent="0.25">
      <c r="G77" s="6">
        <v>333416</v>
      </c>
      <c r="H77" s="12">
        <v>63</v>
      </c>
      <c r="I77" s="7">
        <f t="shared" si="8"/>
        <v>320</v>
      </c>
      <c r="J77" s="11">
        <v>3.964</v>
      </c>
      <c r="K77" s="8">
        <v>3.9740000000000002</v>
      </c>
      <c r="L77" s="11">
        <v>3.88</v>
      </c>
      <c r="M77" s="8">
        <v>3.8149999999999999</v>
      </c>
      <c r="N77" s="11">
        <v>4.0670000000000002</v>
      </c>
      <c r="O77" s="8">
        <v>3.9820000000000002</v>
      </c>
      <c r="P77" s="11">
        <v>3.8450000000000002</v>
      </c>
      <c r="Q77" s="8">
        <v>3.8759999999999999</v>
      </c>
      <c r="R77" s="11">
        <v>31.402999999999999</v>
      </c>
      <c r="S77" s="9">
        <v>22.5</v>
      </c>
      <c r="T77" s="11">
        <v>-7.5999999999999998E-2</v>
      </c>
    </row>
    <row r="78" spans="7:20" x14ac:dyDescent="0.25">
      <c r="G78" s="6">
        <v>338417</v>
      </c>
      <c r="H78" s="12">
        <v>64</v>
      </c>
      <c r="I78" s="7">
        <f t="shared" si="8"/>
        <v>325</v>
      </c>
      <c r="J78" s="11">
        <v>3.964</v>
      </c>
      <c r="K78" s="8">
        <v>3.9740000000000002</v>
      </c>
      <c r="L78" s="11">
        <v>3.88</v>
      </c>
      <c r="M78" s="8">
        <v>3.8330000000000002</v>
      </c>
      <c r="N78" s="11">
        <v>4.0670000000000002</v>
      </c>
      <c r="O78" s="8">
        <v>3.9820000000000002</v>
      </c>
      <c r="P78" s="11">
        <v>3.8450000000000002</v>
      </c>
      <c r="Q78" s="8">
        <v>3.8759999999999999</v>
      </c>
      <c r="R78" s="11">
        <v>31.420999999999999</v>
      </c>
      <c r="S78" s="9">
        <v>22.5</v>
      </c>
      <c r="T78" s="11">
        <v>-7.2999999999999995E-2</v>
      </c>
    </row>
    <row r="79" spans="7:20" x14ac:dyDescent="0.25">
      <c r="G79" s="6">
        <v>633678</v>
      </c>
      <c r="H79" s="12">
        <v>65</v>
      </c>
      <c r="I79" s="7">
        <f t="shared" si="8"/>
        <v>620</v>
      </c>
      <c r="J79" s="11">
        <v>3.9590000000000001</v>
      </c>
      <c r="K79" s="8">
        <v>3.97</v>
      </c>
      <c r="L79" s="11">
        <v>3.8740000000000001</v>
      </c>
      <c r="M79" s="8">
        <v>3.8119999999999998</v>
      </c>
      <c r="N79" s="11">
        <v>4.0579999999999998</v>
      </c>
      <c r="O79" s="8">
        <v>3.9809999999999999</v>
      </c>
      <c r="P79" s="11">
        <v>3.8410000000000002</v>
      </c>
      <c r="Q79" s="8">
        <v>3.8690000000000002</v>
      </c>
      <c r="R79" s="11">
        <v>31.364000000000001</v>
      </c>
      <c r="S79" s="9">
        <v>22.6</v>
      </c>
      <c r="T79" s="11">
        <v>-8.4000000000000005E-2</v>
      </c>
    </row>
    <row r="80" spans="7:20" x14ac:dyDescent="0.25">
      <c r="G80" s="6">
        <v>638745</v>
      </c>
      <c r="H80" s="12">
        <v>66</v>
      </c>
      <c r="I80" s="7">
        <f t="shared" si="8"/>
        <v>625</v>
      </c>
      <c r="J80" s="11">
        <v>3.9540000000000002</v>
      </c>
      <c r="K80" s="8">
        <v>3.9660000000000002</v>
      </c>
      <c r="L80" s="11">
        <v>3.883</v>
      </c>
      <c r="M80" s="8">
        <v>3.794</v>
      </c>
      <c r="N80" s="11">
        <v>4.0759999999999996</v>
      </c>
      <c r="O80" s="8">
        <v>3.9529999999999998</v>
      </c>
      <c r="P80" s="11">
        <v>3.8370000000000002</v>
      </c>
      <c r="Q80" s="8">
        <v>3.9020000000000001</v>
      </c>
      <c r="R80" s="11">
        <v>31.364999999999998</v>
      </c>
      <c r="S80" s="9">
        <v>22.6</v>
      </c>
      <c r="T80" s="11">
        <v>-7.5999999999999998E-2</v>
      </c>
    </row>
    <row r="81" spans="7:20" x14ac:dyDescent="0.25">
      <c r="G81" s="6">
        <v>643752</v>
      </c>
      <c r="H81" s="12">
        <v>67</v>
      </c>
      <c r="I81" s="7">
        <f t="shared" si="8"/>
        <v>630</v>
      </c>
      <c r="J81" s="11">
        <v>3.9590000000000001</v>
      </c>
      <c r="K81" s="8">
        <v>3.9609999999999999</v>
      </c>
      <c r="L81" s="11">
        <v>3.883</v>
      </c>
      <c r="M81" s="8">
        <v>3.8119999999999998</v>
      </c>
      <c r="N81" s="11">
        <v>4.0759999999999996</v>
      </c>
      <c r="O81" s="8">
        <v>3.9529999999999998</v>
      </c>
      <c r="P81" s="11">
        <v>3.8370000000000002</v>
      </c>
      <c r="Q81" s="8">
        <v>3.9020000000000001</v>
      </c>
      <c r="R81" s="11">
        <v>31.382999999999999</v>
      </c>
      <c r="S81" s="9">
        <v>22.5</v>
      </c>
      <c r="T81" s="11">
        <v>-8.7999999999999995E-2</v>
      </c>
    </row>
    <row r="82" spans="7:20" x14ac:dyDescent="0.25">
      <c r="G82" s="6">
        <v>648815</v>
      </c>
      <c r="H82" s="12">
        <v>68</v>
      </c>
      <c r="I82" s="7">
        <f t="shared" si="8"/>
        <v>635</v>
      </c>
      <c r="J82" s="11">
        <v>3.9540000000000002</v>
      </c>
      <c r="K82" s="8">
        <v>3.9660000000000002</v>
      </c>
      <c r="L82" s="11">
        <v>3.883</v>
      </c>
      <c r="M82" s="8">
        <v>3.794</v>
      </c>
      <c r="N82" s="11">
        <v>4.0759999999999996</v>
      </c>
      <c r="O82" s="8">
        <v>3.9529999999999998</v>
      </c>
      <c r="P82" s="11">
        <v>3.8370000000000002</v>
      </c>
      <c r="Q82" s="8">
        <v>3.9020000000000001</v>
      </c>
      <c r="R82" s="11">
        <v>31.364999999999998</v>
      </c>
      <c r="S82" s="9">
        <v>22.6</v>
      </c>
      <c r="T82" s="11">
        <v>-9.7000000000000003E-2</v>
      </c>
    </row>
    <row r="83" spans="7:20" x14ac:dyDescent="0.25">
      <c r="G83" s="6">
        <v>653826</v>
      </c>
      <c r="H83" s="12">
        <v>69</v>
      </c>
      <c r="I83" s="7">
        <f t="shared" si="8"/>
        <v>640</v>
      </c>
      <c r="J83" s="11">
        <v>3.9540000000000002</v>
      </c>
      <c r="K83" s="8">
        <v>3.9660000000000002</v>
      </c>
      <c r="L83" s="11">
        <v>3.883</v>
      </c>
      <c r="M83" s="8">
        <v>3.794</v>
      </c>
      <c r="N83" s="11">
        <v>4.0759999999999996</v>
      </c>
      <c r="O83" s="8">
        <v>3.9529999999999998</v>
      </c>
      <c r="P83" s="11">
        <v>3.8370000000000002</v>
      </c>
      <c r="Q83" s="8">
        <v>3.9020000000000001</v>
      </c>
      <c r="R83" s="11">
        <v>31.364999999999998</v>
      </c>
      <c r="S83" s="9">
        <v>22.6</v>
      </c>
      <c r="T83" s="11">
        <v>-9.4E-2</v>
      </c>
    </row>
    <row r="84" spans="7:20" x14ac:dyDescent="0.25">
      <c r="G84" s="6">
        <v>658827</v>
      </c>
      <c r="H84" s="12">
        <v>70</v>
      </c>
      <c r="I84" s="7">
        <f t="shared" si="8"/>
        <v>645</v>
      </c>
      <c r="J84" s="11">
        <v>3.9540000000000002</v>
      </c>
      <c r="K84" s="8">
        <v>3.9660000000000002</v>
      </c>
      <c r="L84" s="11">
        <v>3.883</v>
      </c>
      <c r="M84" s="8">
        <v>3.8119999999999998</v>
      </c>
      <c r="N84" s="11">
        <v>4.0759999999999996</v>
      </c>
      <c r="O84" s="8">
        <v>3.9529999999999998</v>
      </c>
      <c r="P84" s="11">
        <v>3.8370000000000002</v>
      </c>
      <c r="Q84" s="8">
        <v>3.9020000000000001</v>
      </c>
      <c r="R84" s="11">
        <v>31.382999999999999</v>
      </c>
      <c r="S84" s="9">
        <v>22.5</v>
      </c>
      <c r="T84" s="11">
        <v>-0.09</v>
      </c>
    </row>
    <row r="85" spans="7:20" x14ac:dyDescent="0.25">
      <c r="G85" s="6">
        <v>663834</v>
      </c>
      <c r="H85" s="12">
        <v>71</v>
      </c>
      <c r="I85" s="7">
        <f t="shared" si="8"/>
        <v>650</v>
      </c>
      <c r="J85" s="11">
        <v>3.9540000000000002</v>
      </c>
      <c r="K85" s="8">
        <v>3.9660000000000002</v>
      </c>
      <c r="L85" s="11">
        <v>3.883</v>
      </c>
      <c r="M85" s="8">
        <v>3.794</v>
      </c>
      <c r="N85" s="11">
        <v>4.0759999999999996</v>
      </c>
      <c r="O85" s="8">
        <v>3.9529999999999998</v>
      </c>
      <c r="P85" s="11">
        <v>3.8370000000000002</v>
      </c>
      <c r="Q85" s="8">
        <v>3.9020000000000001</v>
      </c>
      <c r="R85" s="11">
        <v>31.364999999999998</v>
      </c>
      <c r="S85" s="9">
        <v>22.5</v>
      </c>
      <c r="T85" s="11">
        <v>-8.8999999999999996E-2</v>
      </c>
    </row>
    <row r="86" spans="7:20" x14ac:dyDescent="0.25">
      <c r="G86" s="6">
        <v>668841</v>
      </c>
      <c r="H86" s="12">
        <v>72</v>
      </c>
      <c r="I86" s="7">
        <f t="shared" si="8"/>
        <v>655</v>
      </c>
      <c r="J86" s="11">
        <v>3.9540000000000002</v>
      </c>
      <c r="K86" s="8">
        <v>3.9660000000000002</v>
      </c>
      <c r="L86" s="11">
        <v>3.883</v>
      </c>
      <c r="M86" s="8">
        <v>3.794</v>
      </c>
      <c r="N86" s="11">
        <v>4.0759999999999996</v>
      </c>
      <c r="O86" s="8">
        <v>3.9529999999999998</v>
      </c>
      <c r="P86" s="11">
        <v>3.8370000000000002</v>
      </c>
      <c r="Q86" s="8">
        <v>3.9020000000000001</v>
      </c>
      <c r="R86" s="11">
        <v>31.364999999999998</v>
      </c>
      <c r="S86" s="9">
        <v>22.5</v>
      </c>
      <c r="T86" s="11">
        <v>-7.4999999999999997E-2</v>
      </c>
    </row>
    <row r="87" spans="7:20" x14ac:dyDescent="0.25">
      <c r="G87" s="6">
        <v>673841</v>
      </c>
      <c r="H87" s="12">
        <v>73</v>
      </c>
      <c r="I87" s="7">
        <f t="shared" si="8"/>
        <v>660</v>
      </c>
      <c r="J87" s="11">
        <v>3.9540000000000002</v>
      </c>
      <c r="K87" s="8">
        <v>3.9660000000000002</v>
      </c>
      <c r="L87" s="11">
        <v>3.883</v>
      </c>
      <c r="M87" s="8">
        <v>3.794</v>
      </c>
      <c r="N87" s="11">
        <v>4.0759999999999996</v>
      </c>
      <c r="O87" s="8">
        <v>3.9529999999999998</v>
      </c>
      <c r="P87" s="11">
        <v>3.8370000000000002</v>
      </c>
      <c r="Q87" s="8">
        <v>3.9020000000000001</v>
      </c>
      <c r="R87" s="11">
        <v>31.364999999999998</v>
      </c>
      <c r="S87" s="9">
        <v>22.6</v>
      </c>
      <c r="T87" s="11">
        <v>-8.1000000000000003E-2</v>
      </c>
    </row>
    <row r="88" spans="7:20" x14ac:dyDescent="0.25">
      <c r="G88" s="6">
        <v>678879</v>
      </c>
      <c r="H88" s="12">
        <v>74</v>
      </c>
      <c r="I88" s="7">
        <f t="shared" si="8"/>
        <v>665</v>
      </c>
      <c r="J88" s="11">
        <v>3.9540000000000002</v>
      </c>
      <c r="K88" s="8">
        <v>3.9660000000000002</v>
      </c>
      <c r="L88" s="11">
        <v>3.883</v>
      </c>
      <c r="M88" s="8">
        <v>3.794</v>
      </c>
      <c r="N88" s="11">
        <v>4.0759999999999996</v>
      </c>
      <c r="O88" s="8">
        <v>3.9529999999999998</v>
      </c>
      <c r="P88" s="11">
        <v>3.8370000000000002</v>
      </c>
      <c r="Q88" s="8">
        <v>3.9020000000000001</v>
      </c>
      <c r="R88" s="11">
        <v>31.364999999999998</v>
      </c>
      <c r="S88" s="9">
        <v>22.6</v>
      </c>
      <c r="T88" s="11">
        <v>-8.6999999999999994E-2</v>
      </c>
    </row>
    <row r="89" spans="7:20" x14ac:dyDescent="0.25">
      <c r="G89" s="6">
        <v>683890</v>
      </c>
      <c r="H89" s="12">
        <v>75</v>
      </c>
      <c r="I89" s="7">
        <f t="shared" si="8"/>
        <v>670</v>
      </c>
      <c r="J89" s="11">
        <v>3.9540000000000002</v>
      </c>
      <c r="K89" s="8">
        <v>3.9660000000000002</v>
      </c>
      <c r="L89" s="11">
        <v>3.883</v>
      </c>
      <c r="M89" s="8">
        <v>3.794</v>
      </c>
      <c r="N89" s="11">
        <v>4.0759999999999996</v>
      </c>
      <c r="O89" s="8">
        <v>3.9529999999999998</v>
      </c>
      <c r="P89" s="11">
        <v>3.8370000000000002</v>
      </c>
      <c r="Q89" s="8">
        <v>3.9020000000000001</v>
      </c>
      <c r="R89" s="11">
        <v>31.364999999999998</v>
      </c>
      <c r="S89" s="9">
        <v>22.6</v>
      </c>
      <c r="T89" s="11">
        <v>-8.6999999999999994E-2</v>
      </c>
    </row>
    <row r="90" spans="7:20" x14ac:dyDescent="0.25">
      <c r="G90" s="6">
        <v>688953</v>
      </c>
      <c r="H90" s="12">
        <v>76</v>
      </c>
      <c r="I90" s="7">
        <f t="shared" si="8"/>
        <v>675</v>
      </c>
      <c r="J90" s="11">
        <v>3.9540000000000002</v>
      </c>
      <c r="K90" s="8">
        <v>3.9660000000000002</v>
      </c>
      <c r="L90" s="11">
        <v>3.883</v>
      </c>
      <c r="M90" s="8">
        <v>3.794</v>
      </c>
      <c r="N90" s="11">
        <v>4.0759999999999996</v>
      </c>
      <c r="O90" s="8">
        <v>3.9529999999999998</v>
      </c>
      <c r="P90" s="11">
        <v>3.8370000000000002</v>
      </c>
      <c r="Q90" s="8">
        <v>3.9020000000000001</v>
      </c>
      <c r="R90" s="11">
        <v>31.364999999999998</v>
      </c>
      <c r="S90" s="9">
        <v>22.6</v>
      </c>
      <c r="T90" s="11">
        <v>-9.1999999999999998E-2</v>
      </c>
    </row>
    <row r="91" spans="7:20" x14ac:dyDescent="0.25">
      <c r="G91" s="6">
        <v>693964</v>
      </c>
      <c r="H91" s="12">
        <v>77</v>
      </c>
      <c r="I91" s="7">
        <f t="shared" si="8"/>
        <v>680</v>
      </c>
      <c r="J91" s="11">
        <v>3.9540000000000002</v>
      </c>
      <c r="K91" s="8">
        <v>3.9660000000000002</v>
      </c>
      <c r="L91" s="11">
        <v>3.883</v>
      </c>
      <c r="M91" s="8">
        <v>3.794</v>
      </c>
      <c r="N91" s="11">
        <v>4.0759999999999996</v>
      </c>
      <c r="O91" s="8">
        <v>3.9529999999999998</v>
      </c>
      <c r="P91" s="11">
        <v>3.8370000000000002</v>
      </c>
      <c r="Q91" s="8">
        <v>3.9020000000000001</v>
      </c>
      <c r="R91" s="11">
        <v>31.364999999999998</v>
      </c>
      <c r="S91" s="9">
        <v>22.6</v>
      </c>
      <c r="T91" s="11">
        <v>-0.10199999999999999</v>
      </c>
    </row>
    <row r="92" spans="7:20" x14ac:dyDescent="0.25">
      <c r="G92" s="6">
        <v>698968</v>
      </c>
      <c r="H92" s="12">
        <v>78</v>
      </c>
      <c r="I92" s="7">
        <f t="shared" si="8"/>
        <v>685</v>
      </c>
      <c r="J92" s="11">
        <v>3.9540000000000002</v>
      </c>
      <c r="K92" s="8">
        <v>3.9660000000000002</v>
      </c>
      <c r="L92" s="11">
        <v>3.883</v>
      </c>
      <c r="M92" s="8">
        <v>3.794</v>
      </c>
      <c r="N92" s="11">
        <v>4.0759999999999996</v>
      </c>
      <c r="O92" s="8">
        <v>3.9529999999999998</v>
      </c>
      <c r="P92" s="11">
        <v>3.8370000000000002</v>
      </c>
      <c r="Q92" s="8">
        <v>3.9020000000000001</v>
      </c>
      <c r="R92" s="11">
        <v>31.364999999999998</v>
      </c>
      <c r="S92" s="9">
        <v>22.6</v>
      </c>
      <c r="T92" s="11">
        <v>-7.3999999999999996E-2</v>
      </c>
    </row>
    <row r="93" spans="7:20" x14ac:dyDescent="0.25">
      <c r="G93" s="6">
        <v>703975</v>
      </c>
      <c r="H93" s="12">
        <v>79</v>
      </c>
      <c r="I93" s="7">
        <f t="shared" si="8"/>
        <v>690</v>
      </c>
      <c r="J93" s="11">
        <v>3.9540000000000002</v>
      </c>
      <c r="K93" s="8">
        <v>3.9660000000000002</v>
      </c>
      <c r="L93" s="11">
        <v>3.883</v>
      </c>
      <c r="M93" s="8">
        <v>3.794</v>
      </c>
      <c r="N93" s="11">
        <v>4.0759999999999996</v>
      </c>
      <c r="O93" s="8">
        <v>3.9529999999999998</v>
      </c>
      <c r="P93" s="11">
        <v>3.8370000000000002</v>
      </c>
      <c r="Q93" s="8">
        <v>3.9020000000000001</v>
      </c>
      <c r="R93" s="11">
        <v>31.364999999999998</v>
      </c>
      <c r="S93" s="9">
        <v>22.6</v>
      </c>
      <c r="T93" s="11">
        <v>-7.5999999999999998E-2</v>
      </c>
    </row>
    <row r="94" spans="7:20" x14ac:dyDescent="0.25">
      <c r="G94" s="6">
        <v>708982</v>
      </c>
      <c r="H94" s="12">
        <v>80</v>
      </c>
      <c r="I94" s="7">
        <f t="shared" si="8"/>
        <v>695</v>
      </c>
      <c r="J94" s="11">
        <v>3.9540000000000002</v>
      </c>
      <c r="K94" s="8">
        <v>3.9660000000000002</v>
      </c>
      <c r="L94" s="11">
        <v>3.883</v>
      </c>
      <c r="M94" s="8">
        <v>3.794</v>
      </c>
      <c r="N94" s="11">
        <v>4.0759999999999996</v>
      </c>
      <c r="O94" s="8">
        <v>3.9529999999999998</v>
      </c>
      <c r="P94" s="11">
        <v>3.8370000000000002</v>
      </c>
      <c r="Q94" s="8">
        <v>3.9020000000000001</v>
      </c>
      <c r="R94" s="11">
        <v>31.364999999999998</v>
      </c>
      <c r="S94" s="9">
        <v>22.6</v>
      </c>
      <c r="T94" s="11">
        <v>-7.5999999999999998E-2</v>
      </c>
    </row>
    <row r="95" spans="7:20" x14ac:dyDescent="0.25">
      <c r="G95" s="6">
        <v>713987</v>
      </c>
      <c r="H95" s="12">
        <v>81</v>
      </c>
      <c r="I95" s="7">
        <f t="shared" si="8"/>
        <v>700</v>
      </c>
      <c r="J95" s="11">
        <v>3.9540000000000002</v>
      </c>
      <c r="K95" s="8">
        <v>3.9660000000000002</v>
      </c>
      <c r="L95" s="11">
        <v>3.883</v>
      </c>
      <c r="M95" s="8">
        <v>3.794</v>
      </c>
      <c r="N95" s="11">
        <v>4.0759999999999996</v>
      </c>
      <c r="O95" s="8">
        <v>3.9529999999999998</v>
      </c>
      <c r="P95" s="11">
        <v>3.8370000000000002</v>
      </c>
      <c r="Q95" s="8">
        <v>3.9020000000000001</v>
      </c>
      <c r="R95" s="11">
        <v>31.364999999999998</v>
      </c>
      <c r="S95" s="9">
        <v>22.6</v>
      </c>
      <c r="T95" s="11">
        <v>-9.1999999999999998E-2</v>
      </c>
    </row>
    <row r="96" spans="7:20" x14ac:dyDescent="0.25">
      <c r="J96" s="2"/>
      <c r="K96" s="2"/>
      <c r="L96" s="2"/>
      <c r="M96" s="2"/>
      <c r="N96" s="2"/>
      <c r="O96" s="2"/>
      <c r="P96" s="2"/>
      <c r="Q96" s="2"/>
      <c r="R96" s="2"/>
      <c r="S96" s="3"/>
      <c r="T96" s="2"/>
    </row>
    <row r="97" spans="10:20" x14ac:dyDescent="0.25">
      <c r="J97" s="2"/>
      <c r="K97" s="2"/>
      <c r="L97" s="2"/>
      <c r="M97" s="2"/>
      <c r="N97" s="2"/>
      <c r="O97" s="2"/>
      <c r="P97" s="2"/>
      <c r="Q97" s="2"/>
      <c r="R97" s="2"/>
      <c r="S97" s="3"/>
      <c r="T97" s="2"/>
    </row>
  </sheetData>
  <pageMargins left="0.7" right="0.7" top="0.75" bottom="0.75" header="0.3" footer="0.3"/>
  <pageSetup orientation="portrait" r:id="rId1"/>
  <ignoredErrors>
    <ignoredError sqref="S9:S12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samkari</dc:creator>
  <cp:keywords/>
  <dc:description/>
  <cp:lastModifiedBy>MOHAMED THAMER ABDULRAHMAN SAMKARI</cp:lastModifiedBy>
  <cp:revision/>
  <dcterms:created xsi:type="dcterms:W3CDTF">2025-11-13T09:20:35Z</dcterms:created>
  <dcterms:modified xsi:type="dcterms:W3CDTF">2025-11-14T00:04:39Z</dcterms:modified>
  <cp:category/>
  <cp:contentStatus/>
</cp:coreProperties>
</file>